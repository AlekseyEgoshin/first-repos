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35" tabRatio="652" firstSheet="6" activeTab="8"/>
  </bookViews>
  <sheets>
    <sheet name="SE1000 (черный лист)" sheetId="1" r:id="rId1"/>
    <sheet name="SE1100(черный лист)" sheetId="11" r:id="rId2"/>
    <sheet name="SF1000 и SF1100" sheetId="12" r:id="rId3"/>
    <sheet name="SE2000 (нерж304)" sheetId="4" r:id="rId4"/>
    <sheet name="SE2100(нерж304)" sheetId="13" r:id="rId5"/>
    <sheet name="Напольные корпуса линейных шкаф" sheetId="2" r:id="rId6"/>
    <sheet name="коробки соеденительные CS" sheetId="3" r:id="rId7"/>
    <sheet name="Лист2" sheetId="6" r:id="rId8"/>
    <sheet name="SE3000(нерж316)" sheetId="9" r:id="rId9"/>
    <sheet name="Лист1" sheetId="14" r:id="rId10"/>
    <sheet name="Лист3" sheetId="7" r:id="rId11"/>
    <sheet name="Лист4" sheetId="8" r:id="rId12"/>
    <sheet name="Лист5" sheetId="10" r:id="rId13"/>
    <sheet name="Лист6" sheetId="15" r:id="rId14"/>
  </sheets>
  <definedNames>
    <definedName name="_xlnm._FilterDatabase" localSheetId="0" hidden="1">'SE1000 (черный лист)'!$AJ$1:$AJ$141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5" l="1"/>
  <c r="E43" i="15"/>
  <c r="E40" i="15"/>
  <c r="E28" i="15"/>
  <c r="E29" i="15"/>
  <c r="E21" i="15"/>
  <c r="U4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5" i="15"/>
  <c r="U46" i="15"/>
  <c r="E3" i="15"/>
  <c r="E7" i="15" s="1"/>
  <c r="Q37" i="15"/>
  <c r="U3" i="15" s="1"/>
  <c r="U4" i="15"/>
  <c r="Q38" i="15"/>
  <c r="E16" i="15"/>
  <c r="E18" i="15" s="1"/>
  <c r="E19" i="15" l="1"/>
  <c r="Q39" i="15"/>
  <c r="Q40" i="15" s="1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7" i="9"/>
  <c r="AA38" i="9"/>
  <c r="AA39" i="9"/>
  <c r="AA40" i="9"/>
  <c r="AA41" i="9"/>
  <c r="AA42" i="9"/>
  <c r="AA43" i="9"/>
  <c r="AA44" i="9"/>
  <c r="AA45" i="9"/>
  <c r="AA46" i="9"/>
  <c r="AA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7" i="9"/>
  <c r="Z38" i="9"/>
  <c r="Z39" i="9"/>
  <c r="Z40" i="9"/>
  <c r="Z41" i="9"/>
  <c r="Z42" i="9"/>
  <c r="Z43" i="9"/>
  <c r="Z44" i="9"/>
  <c r="Z45" i="9"/>
  <c r="Z46" i="9"/>
  <c r="Z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Z36" i="9" s="1"/>
  <c r="AA36" i="9" s="1"/>
  <c r="Y37" i="9"/>
  <c r="Y38" i="9"/>
  <c r="Y39" i="9"/>
  <c r="Y40" i="9"/>
  <c r="Y41" i="9"/>
  <c r="Y42" i="9"/>
  <c r="Y43" i="9"/>
  <c r="Y44" i="9"/>
  <c r="Y45" i="9"/>
  <c r="Y46" i="9"/>
  <c r="Y3" i="9"/>
  <c r="W3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" i="9"/>
  <c r="Q41" i="15" l="1"/>
  <c r="Q42" i="15" s="1"/>
  <c r="K3" i="4"/>
  <c r="L3" i="4"/>
  <c r="F16" i="8"/>
  <c r="I9" i="8"/>
  <c r="F20" i="8"/>
  <c r="F14" i="8"/>
  <c r="F13" i="8"/>
  <c r="M3" i="4"/>
  <c r="Q43" i="15" l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3" i="13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AF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" i="1"/>
  <c r="H4" i="12"/>
  <c r="I4" i="12" s="1"/>
  <c r="H5" i="12"/>
  <c r="I5" i="12" s="1"/>
  <c r="H6" i="12"/>
  <c r="I6" i="12" s="1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I16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 s="1"/>
  <c r="H25" i="12"/>
  <c r="I25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35" i="12"/>
  <c r="I35" i="12" s="1"/>
  <c r="H36" i="12"/>
  <c r="I36" i="12" s="1"/>
  <c r="H37" i="12"/>
  <c r="I37" i="12" s="1"/>
  <c r="H38" i="12"/>
  <c r="I38" i="12" s="1"/>
  <c r="H39" i="12"/>
  <c r="I39" i="12" s="1"/>
  <c r="H40" i="12"/>
  <c r="I40" i="12" s="1"/>
  <c r="H41" i="12"/>
  <c r="I41" i="12" s="1"/>
  <c r="H42" i="12"/>
  <c r="I42" i="12" s="1"/>
  <c r="H43" i="12"/>
  <c r="I43" i="12" s="1"/>
  <c r="H44" i="12"/>
  <c r="I44" i="12" s="1"/>
  <c r="H45" i="12"/>
  <c r="I45" i="12" s="1"/>
  <c r="H46" i="12"/>
  <c r="I46" i="12" s="1"/>
  <c r="H3" i="12"/>
  <c r="I3" i="12" s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3" i="11"/>
  <c r="Q44" i="15" l="1"/>
  <c r="Q45" i="15" s="1"/>
  <c r="Q46" i="15" s="1"/>
  <c r="AF9" i="1"/>
  <c r="AG9" i="1" s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P3" i="4"/>
  <c r="P4" i="4"/>
  <c r="Q47" i="15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3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3" i="4"/>
  <c r="S6" i="4"/>
  <c r="K6" i="4" s="1"/>
  <c r="S7" i="4"/>
  <c r="K7" i="4" s="1"/>
  <c r="S10" i="4"/>
  <c r="K10" i="4" s="1"/>
  <c r="S11" i="4"/>
  <c r="K11" i="4" s="1"/>
  <c r="S14" i="4"/>
  <c r="K14" i="4" s="1"/>
  <c r="S15" i="4"/>
  <c r="K15" i="4" s="1"/>
  <c r="S18" i="4"/>
  <c r="K18" i="4" s="1"/>
  <c r="S19" i="4"/>
  <c r="K19" i="4" s="1"/>
  <c r="S22" i="4"/>
  <c r="K22" i="4" s="1"/>
  <c r="S23" i="4"/>
  <c r="K23" i="4" s="1"/>
  <c r="S26" i="4"/>
  <c r="K26" i="4" s="1"/>
  <c r="S27" i="4"/>
  <c r="K27" i="4" s="1"/>
  <c r="S30" i="4"/>
  <c r="K30" i="4" s="1"/>
  <c r="S31" i="4"/>
  <c r="K31" i="4" s="1"/>
  <c r="S34" i="4"/>
  <c r="K34" i="4" s="1"/>
  <c r="S35" i="4"/>
  <c r="K35" i="4" s="1"/>
  <c r="S38" i="4"/>
  <c r="K38" i="4" s="1"/>
  <c r="S39" i="4"/>
  <c r="K39" i="4" s="1"/>
  <c r="S42" i="4"/>
  <c r="K42" i="4" s="1"/>
  <c r="S43" i="4"/>
  <c r="K43" i="4" s="1"/>
  <c r="S46" i="4"/>
  <c r="K46" i="4" s="1"/>
  <c r="S3" i="4"/>
  <c r="I40" i="8"/>
  <c r="I35" i="8"/>
  <c r="I29" i="8"/>
  <c r="I25" i="8"/>
  <c r="I21" i="8"/>
  <c r="I19" i="8"/>
  <c r="I18" i="8"/>
  <c r="I14" i="8"/>
  <c r="I13" i="8"/>
  <c r="I12" i="8"/>
  <c r="I11" i="8"/>
  <c r="I10" i="8"/>
  <c r="I8" i="8"/>
  <c r="I7" i="8"/>
  <c r="I6" i="8"/>
  <c r="I5" i="8"/>
  <c r="I4" i="8"/>
  <c r="I3" i="8"/>
  <c r="I2" i="8"/>
  <c r="I1" i="8"/>
  <c r="F15" i="8"/>
  <c r="H4" i="4"/>
  <c r="S4" i="4" s="1"/>
  <c r="K4" i="4" s="1"/>
  <c r="H5" i="4"/>
  <c r="S5" i="4" s="1"/>
  <c r="K5" i="4" s="1"/>
  <c r="H6" i="4"/>
  <c r="H7" i="4"/>
  <c r="H8" i="4"/>
  <c r="S8" i="4" s="1"/>
  <c r="K8" i="4" s="1"/>
  <c r="H9" i="4"/>
  <c r="S9" i="4" s="1"/>
  <c r="K9" i="4" s="1"/>
  <c r="H10" i="4"/>
  <c r="H11" i="4"/>
  <c r="H12" i="4"/>
  <c r="S12" i="4" s="1"/>
  <c r="K12" i="4" s="1"/>
  <c r="H13" i="4"/>
  <c r="S13" i="4" s="1"/>
  <c r="K13" i="4" s="1"/>
  <c r="H14" i="4"/>
  <c r="H15" i="4"/>
  <c r="H16" i="4"/>
  <c r="S16" i="4" s="1"/>
  <c r="K16" i="4" s="1"/>
  <c r="H17" i="4"/>
  <c r="S17" i="4" s="1"/>
  <c r="K17" i="4" s="1"/>
  <c r="H18" i="4"/>
  <c r="H19" i="4"/>
  <c r="H20" i="4"/>
  <c r="S20" i="4" s="1"/>
  <c r="K20" i="4" s="1"/>
  <c r="H21" i="4"/>
  <c r="S21" i="4" s="1"/>
  <c r="K21" i="4" s="1"/>
  <c r="H22" i="4"/>
  <c r="H23" i="4"/>
  <c r="H24" i="4"/>
  <c r="S24" i="4" s="1"/>
  <c r="K24" i="4" s="1"/>
  <c r="H25" i="4"/>
  <c r="S25" i="4" s="1"/>
  <c r="K25" i="4" s="1"/>
  <c r="H26" i="4"/>
  <c r="H27" i="4"/>
  <c r="H28" i="4"/>
  <c r="S28" i="4" s="1"/>
  <c r="K28" i="4" s="1"/>
  <c r="H29" i="4"/>
  <c r="S29" i="4" s="1"/>
  <c r="K29" i="4" s="1"/>
  <c r="H30" i="4"/>
  <c r="H31" i="4"/>
  <c r="H32" i="4"/>
  <c r="S32" i="4" s="1"/>
  <c r="K32" i="4" s="1"/>
  <c r="H33" i="4"/>
  <c r="S33" i="4" s="1"/>
  <c r="K33" i="4" s="1"/>
  <c r="H34" i="4"/>
  <c r="H35" i="4"/>
  <c r="H36" i="4"/>
  <c r="S36" i="4" s="1"/>
  <c r="K36" i="4" s="1"/>
  <c r="H37" i="4"/>
  <c r="S37" i="4" s="1"/>
  <c r="K37" i="4" s="1"/>
  <c r="H38" i="4"/>
  <c r="H39" i="4"/>
  <c r="H40" i="4"/>
  <c r="S40" i="4" s="1"/>
  <c r="K40" i="4" s="1"/>
  <c r="H41" i="4"/>
  <c r="S41" i="4" s="1"/>
  <c r="K41" i="4" s="1"/>
  <c r="H42" i="4"/>
  <c r="H43" i="4"/>
  <c r="H44" i="4"/>
  <c r="S44" i="4" s="1"/>
  <c r="K44" i="4" s="1"/>
  <c r="H45" i="4"/>
  <c r="S45" i="4" s="1"/>
  <c r="K45" i="4" s="1"/>
  <c r="H46" i="4"/>
  <c r="H3" i="4"/>
  <c r="F17" i="8" l="1"/>
  <c r="F18" i="8"/>
  <c r="F19" i="8" s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" i="1"/>
  <c r="Q4" i="4"/>
  <c r="P5" i="4"/>
  <c r="Q5" i="4" s="1"/>
  <c r="P6" i="4"/>
  <c r="Q6" i="4" s="1"/>
  <c r="P7" i="4"/>
  <c r="Q7" i="4" s="1"/>
  <c r="P8" i="4"/>
  <c r="Q8" i="4" s="1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Q23" i="4" s="1"/>
  <c r="P24" i="4"/>
  <c r="Q24" i="4" s="1"/>
  <c r="P25" i="4"/>
  <c r="Q25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32" i="4"/>
  <c r="Q32" i="4" s="1"/>
  <c r="P33" i="4"/>
  <c r="Q33" i="4" s="1"/>
  <c r="P34" i="4"/>
  <c r="Q34" i="4" s="1"/>
  <c r="P35" i="4"/>
  <c r="Q35" i="4" s="1"/>
  <c r="P36" i="4"/>
  <c r="Q36" i="4" s="1"/>
  <c r="P37" i="4"/>
  <c r="Q37" i="4" s="1"/>
  <c r="P38" i="4"/>
  <c r="Q38" i="4" s="1"/>
  <c r="P39" i="4"/>
  <c r="Q39" i="4" s="1"/>
  <c r="P40" i="4"/>
  <c r="Q40" i="4" s="1"/>
  <c r="P41" i="4"/>
  <c r="Q41" i="4" s="1"/>
  <c r="P42" i="4"/>
  <c r="Q42" i="4" s="1"/>
  <c r="P43" i="4"/>
  <c r="Q43" i="4" s="1"/>
  <c r="P44" i="4"/>
  <c r="Q44" i="4" s="1"/>
  <c r="P45" i="4"/>
  <c r="Q45" i="4" s="1"/>
  <c r="P46" i="4"/>
  <c r="Q46" i="4" s="1"/>
  <c r="Q3" i="4"/>
  <c r="F21" i="8" l="1"/>
  <c r="I15" i="8" s="1"/>
  <c r="E4" i="7"/>
  <c r="E3" i="7"/>
  <c r="F22" i="8" l="1"/>
  <c r="I16" i="8" s="1"/>
  <c r="AF8" i="1"/>
  <c r="AG8" i="1" s="1"/>
  <c r="AK9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" i="1"/>
  <c r="AK43" i="1" l="1"/>
  <c r="AF43" i="1"/>
  <c r="AG43" i="1" s="1"/>
  <c r="AK35" i="1"/>
  <c r="AF35" i="1"/>
  <c r="AG35" i="1" s="1"/>
  <c r="AK31" i="1"/>
  <c r="AF31" i="1"/>
  <c r="AG31" i="1" s="1"/>
  <c r="AK27" i="1"/>
  <c r="AF27" i="1"/>
  <c r="AG27" i="1" s="1"/>
  <c r="AK23" i="1"/>
  <c r="AF23" i="1"/>
  <c r="AG23" i="1" s="1"/>
  <c r="AK19" i="1"/>
  <c r="AF19" i="1"/>
  <c r="AG19" i="1" s="1"/>
  <c r="AK15" i="1"/>
  <c r="AF15" i="1"/>
  <c r="AG15" i="1" s="1"/>
  <c r="AK11" i="1"/>
  <c r="AF11" i="1"/>
  <c r="AG11" i="1" s="1"/>
  <c r="AK7" i="1"/>
  <c r="AF7" i="1"/>
  <c r="AG7" i="1" s="1"/>
  <c r="AK46" i="1"/>
  <c r="AF46" i="1"/>
  <c r="AG46" i="1" s="1"/>
  <c r="AK42" i="1"/>
  <c r="AF42" i="1"/>
  <c r="AG42" i="1" s="1"/>
  <c r="AK38" i="1"/>
  <c r="AF38" i="1"/>
  <c r="AG38" i="1" s="1"/>
  <c r="AK34" i="1"/>
  <c r="AF34" i="1"/>
  <c r="AG34" i="1" s="1"/>
  <c r="AK30" i="1"/>
  <c r="AF30" i="1"/>
  <c r="AG30" i="1" s="1"/>
  <c r="AK26" i="1"/>
  <c r="AF26" i="1"/>
  <c r="AG26" i="1" s="1"/>
  <c r="AK22" i="1"/>
  <c r="AF22" i="1"/>
  <c r="AG22" i="1" s="1"/>
  <c r="AK18" i="1"/>
  <c r="AF18" i="1"/>
  <c r="AG18" i="1" s="1"/>
  <c r="AK14" i="1"/>
  <c r="AF14" i="1"/>
  <c r="AG14" i="1" s="1"/>
  <c r="AK10" i="1"/>
  <c r="AF10" i="1"/>
  <c r="AG10" i="1" s="1"/>
  <c r="AK6" i="1"/>
  <c r="AF6" i="1"/>
  <c r="AG6" i="1" s="1"/>
  <c r="AK45" i="1"/>
  <c r="AF45" i="1"/>
  <c r="AG45" i="1" s="1"/>
  <c r="AK37" i="1"/>
  <c r="AF37" i="1"/>
  <c r="AG37" i="1" s="1"/>
  <c r="AK33" i="1"/>
  <c r="AF33" i="1"/>
  <c r="AG33" i="1" s="1"/>
  <c r="AK29" i="1"/>
  <c r="AF29" i="1"/>
  <c r="AG29" i="1" s="1"/>
  <c r="AK25" i="1"/>
  <c r="AF25" i="1"/>
  <c r="AG25" i="1" s="1"/>
  <c r="AK21" i="1"/>
  <c r="AF21" i="1"/>
  <c r="AG21" i="1" s="1"/>
  <c r="AK17" i="1"/>
  <c r="AF17" i="1"/>
  <c r="AG17" i="1" s="1"/>
  <c r="AK13" i="1"/>
  <c r="AF13" i="1"/>
  <c r="AG13" i="1" s="1"/>
  <c r="AK5" i="1"/>
  <c r="AF5" i="1"/>
  <c r="AG5" i="1" s="1"/>
  <c r="AK47" i="1"/>
  <c r="AF47" i="1"/>
  <c r="AG47" i="1" s="1"/>
  <c r="AK39" i="1"/>
  <c r="AF39" i="1"/>
  <c r="AG39" i="1" s="1"/>
  <c r="AK41" i="1"/>
  <c r="AF41" i="1"/>
  <c r="AG41" i="1" s="1"/>
  <c r="AK4" i="1"/>
  <c r="AG4" i="1"/>
  <c r="AK44" i="1"/>
  <c r="AF44" i="1"/>
  <c r="AG44" i="1" s="1"/>
  <c r="AK40" i="1"/>
  <c r="AF40" i="1"/>
  <c r="AG40" i="1" s="1"/>
  <c r="AK36" i="1"/>
  <c r="AF36" i="1"/>
  <c r="AG36" i="1" s="1"/>
  <c r="AK32" i="1"/>
  <c r="AF32" i="1"/>
  <c r="AG32" i="1" s="1"/>
  <c r="AK28" i="1"/>
  <c r="AF28" i="1"/>
  <c r="AG28" i="1" s="1"/>
  <c r="AK24" i="1"/>
  <c r="AF24" i="1"/>
  <c r="AG24" i="1" s="1"/>
  <c r="AK20" i="1"/>
  <c r="AF20" i="1"/>
  <c r="AG20" i="1" s="1"/>
  <c r="AK16" i="1"/>
  <c r="AF16" i="1"/>
  <c r="AG16" i="1" s="1"/>
  <c r="AK12" i="1"/>
  <c r="AF12" i="1"/>
  <c r="AG12" i="1" s="1"/>
  <c r="F23" i="8"/>
  <c r="I17" i="8" s="1"/>
  <c r="AH8" i="1"/>
  <c r="AK8" i="1"/>
  <c r="AH4" i="1"/>
  <c r="F24" i="8" l="1"/>
  <c r="AH5" i="1"/>
  <c r="AH6" i="1"/>
  <c r="AH7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5" i="1"/>
  <c r="AH46" i="1"/>
  <c r="AH47" i="1"/>
  <c r="F25" i="8" l="1"/>
  <c r="I20" i="8" s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2" i="3"/>
  <c r="F26" i="8" l="1"/>
  <c r="I22" i="8" s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3" i="4"/>
  <c r="F27" i="8" l="1"/>
  <c r="I23" i="8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4" i="1"/>
  <c r="F28" i="8" l="1"/>
  <c r="I24" i="8" s="1"/>
  <c r="F29" i="8" l="1"/>
  <c r="I26" i="8" s="1"/>
  <c r="F30" i="8" l="1"/>
  <c r="I27" i="8" s="1"/>
  <c r="F31" i="8" l="1"/>
  <c r="I28" i="8" s="1"/>
  <c r="F32" i="8" l="1"/>
  <c r="I30" i="8" s="1"/>
  <c r="F33" i="8" l="1"/>
  <c r="I31" i="8" s="1"/>
  <c r="F34" i="8" l="1"/>
  <c r="I32" i="8" s="1"/>
  <c r="F35" i="8" l="1"/>
  <c r="F36" i="8" l="1"/>
  <c r="I33" i="8"/>
  <c r="F37" i="8" l="1"/>
  <c r="I38" i="8"/>
  <c r="I34" i="8"/>
  <c r="F38" i="8" l="1"/>
  <c r="I36" i="8"/>
  <c r="F39" i="8" l="1"/>
  <c r="F40" i="8" s="1"/>
  <c r="I37" i="8"/>
  <c r="F41" i="8" l="1"/>
  <c r="F42" i="8" s="1"/>
  <c r="I42" i="8" s="1"/>
  <c r="I39" i="8"/>
  <c r="I41" i="8" l="1"/>
  <c r="I43" i="8"/>
  <c r="F43" i="8"/>
  <c r="F44" i="8" s="1"/>
  <c r="I44" i="8" s="1"/>
  <c r="AH49" i="1"/>
</calcChain>
</file>

<file path=xl/sharedStrings.xml><?xml version="1.0" encoding="utf-8"?>
<sst xmlns="http://schemas.openxmlformats.org/spreadsheetml/2006/main" count="2799" uniqueCount="1756">
  <si>
    <t xml:space="preserve">IP67 </t>
  </si>
  <si>
    <t>SЕ2001</t>
  </si>
  <si>
    <t>SE2002</t>
  </si>
  <si>
    <t>SE2003</t>
  </si>
  <si>
    <t>SE2004</t>
  </si>
  <si>
    <t>SE2005</t>
  </si>
  <si>
    <t>SE2006</t>
  </si>
  <si>
    <t>SE2007</t>
  </si>
  <si>
    <t>SE2008</t>
  </si>
  <si>
    <t>SE2009</t>
  </si>
  <si>
    <t>SE2010</t>
  </si>
  <si>
    <t>SE2011</t>
  </si>
  <si>
    <t>SE2012</t>
  </si>
  <si>
    <t>SE2013</t>
  </si>
  <si>
    <t>SE2014</t>
  </si>
  <si>
    <t>SE2015</t>
  </si>
  <si>
    <t>SE2016</t>
  </si>
  <si>
    <t>SE2017</t>
  </si>
  <si>
    <t>SE2018</t>
  </si>
  <si>
    <t>SE2019</t>
  </si>
  <si>
    <t>SE2020</t>
  </si>
  <si>
    <t>SE2021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</si>
  <si>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</si>
  <si>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</si>
  <si>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</si>
  <si>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</si>
  <si>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</si>
  <si>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</si>
  <si>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</si>
  <si>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</si>
  <si>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</si>
  <si>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</si>
  <si>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</si>
  <si>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 xml:space="preserve">IP66 </t>
  </si>
  <si>
    <t>SE2033</t>
  </si>
  <si>
    <t>SE2034</t>
  </si>
  <si>
    <t>SE2035</t>
  </si>
  <si>
    <t>SE2036</t>
  </si>
  <si>
    <t>SE2037</t>
  </si>
  <si>
    <t>SE2038</t>
  </si>
  <si>
    <t>SE2039</t>
  </si>
  <si>
    <t>SE2040</t>
  </si>
  <si>
    <t>SE2041</t>
  </si>
  <si>
    <t>SE2042</t>
  </si>
  <si>
    <t>SE2043</t>
  </si>
  <si>
    <t>SE2044</t>
  </si>
  <si>
    <t xml:space="preserve">А, мм. </t>
  </si>
  <si>
    <t xml:space="preserve">В, мм. </t>
  </si>
  <si>
    <t xml:space="preserve">С, мм. </t>
  </si>
  <si>
    <t xml:space="preserve">H, мм. </t>
  </si>
  <si>
    <t xml:space="preserve">К, мм. </t>
  </si>
  <si>
    <t>Артикул</t>
  </si>
  <si>
    <t>MES 30.20.15</t>
  </si>
  <si>
    <t>Провенто</t>
  </si>
  <si>
    <t>MES 30.30.15</t>
  </si>
  <si>
    <t>MES 30.40.15</t>
  </si>
  <si>
    <t>MES 40.30.15</t>
  </si>
  <si>
    <t>MES 40.30.21</t>
  </si>
  <si>
    <t>MES 40.40.21</t>
  </si>
  <si>
    <t>MES 40.60.21</t>
  </si>
  <si>
    <t>MES 50.30.21</t>
  </si>
  <si>
    <t>MES 50.40.21</t>
  </si>
  <si>
    <t>MES 50.40.25</t>
  </si>
  <si>
    <t>MES 50.50.21</t>
  </si>
  <si>
    <t>MES 60.40.21</t>
  </si>
  <si>
    <t>MES 60.40.25</t>
  </si>
  <si>
    <t>MES 60.60.25</t>
  </si>
  <si>
    <t>MES 70.50.21</t>
  </si>
  <si>
    <t>MES 70.50.25</t>
  </si>
  <si>
    <t>MES 80.60.21</t>
  </si>
  <si>
    <t>MES 80.60.25</t>
  </si>
  <si>
    <t>MES 80.60.30</t>
  </si>
  <si>
    <t>MES 80.60.40</t>
  </si>
  <si>
    <t>MES 80.80.30</t>
  </si>
  <si>
    <t>MES 100.60.21</t>
  </si>
  <si>
    <t>MES 100.60.25</t>
  </si>
  <si>
    <t>MES 100.60.30</t>
  </si>
  <si>
    <t>MES 100.60.40</t>
  </si>
  <si>
    <t>MES 100.80.30</t>
  </si>
  <si>
    <t>MES 120.60.21</t>
  </si>
  <si>
    <t>MES 120.60.30</t>
  </si>
  <si>
    <t>MES 120.60.40</t>
  </si>
  <si>
    <t>MES 120.80.30</t>
  </si>
  <si>
    <t>MES 120.80.40</t>
  </si>
  <si>
    <t>MES 140.60.40</t>
  </si>
  <si>
    <t>MES 140.80.40</t>
  </si>
  <si>
    <t>MES 160.60.40</t>
  </si>
  <si>
    <t>УЗОЛА</t>
  </si>
  <si>
    <t>Корпуса компактные UC2 IP66</t>
  </si>
  <si>
    <t>U7521106025</t>
  </si>
  <si>
    <t xml:space="preserve">Корпус UC2 100.60.25 IP66 USOLA </t>
  </si>
  <si>
    <t>U7521106030</t>
  </si>
  <si>
    <t xml:space="preserve">Корпус UC2 100.60.30 IP66 USOLA </t>
  </si>
  <si>
    <t>U7521106040</t>
  </si>
  <si>
    <t xml:space="preserve">Корпус UC2 100.60.40 IP66 USOLA </t>
  </si>
  <si>
    <t>U7521108030</t>
  </si>
  <si>
    <t xml:space="preserve">Корпус UC2 100.80.30 IP66 USOLA </t>
  </si>
  <si>
    <t>U7521126025</t>
  </si>
  <si>
    <t xml:space="preserve">Корпус UC2 120.60.25 IP66 USOLA </t>
  </si>
  <si>
    <t>U7521126030</t>
  </si>
  <si>
    <t xml:space="preserve">Корпус UC2 120.60.30 IP66 USOLA </t>
  </si>
  <si>
    <t>U7521126040</t>
  </si>
  <si>
    <t xml:space="preserve">Корпус UC2 120.60.40 IP66 USOLA </t>
  </si>
  <si>
    <t>U7521128030</t>
  </si>
  <si>
    <t xml:space="preserve">Корпус UC2 120.80.30 IP66 USOLA </t>
  </si>
  <si>
    <t>U7521128040</t>
  </si>
  <si>
    <t xml:space="preserve">Корпус UC2 120.80.40 IP66 USOLA </t>
  </si>
  <si>
    <t>U7521146040</t>
  </si>
  <si>
    <t xml:space="preserve">Корпус UC2 140.60.40 IP66 USOLA </t>
  </si>
  <si>
    <t>U7521148040</t>
  </si>
  <si>
    <t xml:space="preserve">Корпус UC2 140.80.40 IP66 USOLA </t>
  </si>
  <si>
    <t>U7521166040</t>
  </si>
  <si>
    <t xml:space="preserve">Корпус UC2 160.60.40 IP66 USOLA </t>
  </si>
  <si>
    <t>U7521202015</t>
  </si>
  <si>
    <t xml:space="preserve">Корпус UC2 20.20.15 IP66 USOLA </t>
  </si>
  <si>
    <t>U7521202020</t>
  </si>
  <si>
    <t xml:space="preserve">Корпус UC2 20.20.20 IP66 USOLA </t>
  </si>
  <si>
    <t>U7521203015</t>
  </si>
  <si>
    <t xml:space="preserve">Корпус UC2 20.30.15 IP66 USOLA </t>
  </si>
  <si>
    <t>U7521203020</t>
  </si>
  <si>
    <t xml:space="preserve">Корпус UC2 20.30.20 IP66 USOLA </t>
  </si>
  <si>
    <t>U7521253015</t>
  </si>
  <si>
    <t xml:space="preserve">Корпус UC2 25.30.15 IP66 USOLA </t>
  </si>
  <si>
    <t>U7521253020</t>
  </si>
  <si>
    <t xml:space="preserve">Корпус UC2 25.30.20 IP66 USOLA </t>
  </si>
  <si>
    <t>U7521253025</t>
  </si>
  <si>
    <t xml:space="preserve">Корпус UC2 25.30.25 IP66 USOLA </t>
  </si>
  <si>
    <t>U7521253515</t>
  </si>
  <si>
    <t xml:space="preserve">Корпус UC2 25.35.15 IP66 USOLA </t>
  </si>
  <si>
    <t>U7521253520</t>
  </si>
  <si>
    <t xml:space="preserve">Корпус UC2 25.35.20 IP66 USOLA </t>
  </si>
  <si>
    <t>U7521253525</t>
  </si>
  <si>
    <t xml:space="preserve">Корпус UC2 25.35.25 IP66 USOLA </t>
  </si>
  <si>
    <t>U7521254015</t>
  </si>
  <si>
    <t xml:space="preserve">Корпус UC2 25.40.15 IP66 USOLA </t>
  </si>
  <si>
    <t>U7521254020</t>
  </si>
  <si>
    <t xml:space="preserve">Корпус UC2 25.40.20 IP66 USOLA </t>
  </si>
  <si>
    <t>U7521254025</t>
  </si>
  <si>
    <t xml:space="preserve">Корпус UC2 25.40.25 IP66 USOLA </t>
  </si>
  <si>
    <t>U7521302015</t>
  </si>
  <si>
    <t xml:space="preserve">Корпус UC2 30.20.15 IP66 USOLA </t>
  </si>
  <si>
    <t>U7521302020</t>
  </si>
  <si>
    <t xml:space="preserve">Корпус UC2 30.20.20 IP66 USOLA </t>
  </si>
  <si>
    <t>U7521302025</t>
  </si>
  <si>
    <t xml:space="preserve">Корпус UC2 30.20.25 IP66 USOLA </t>
  </si>
  <si>
    <t>U7521303015</t>
  </si>
  <si>
    <t xml:space="preserve">Корпус UC2 30.30.15 IP66 USOLA </t>
  </si>
  <si>
    <t>U7521303020</t>
  </si>
  <si>
    <t xml:space="preserve">Корпус UC2 30.30.20 IP66 USOLA </t>
  </si>
  <si>
    <t>U7521303025</t>
  </si>
  <si>
    <t xml:space="preserve">Корпус UC2 30.30.25 IP66 USOLA </t>
  </si>
  <si>
    <t>U7521303515</t>
  </si>
  <si>
    <t xml:space="preserve">Корпус UC2 30.35.15 IP66 USOLA </t>
  </si>
  <si>
    <t>U7521303520</t>
  </si>
  <si>
    <t xml:space="preserve">Корпус UC2 30.35.20 IP66 USOLA </t>
  </si>
  <si>
    <t>U7521303525</t>
  </si>
  <si>
    <t xml:space="preserve">Корпус UC2 30.35.25 IP66 USOLA </t>
  </si>
  <si>
    <t>U7521304015</t>
  </si>
  <si>
    <t xml:space="preserve">Корпус UC2 30.40.15 IP66 USOLA </t>
  </si>
  <si>
    <t>U7521304020</t>
  </si>
  <si>
    <t xml:space="preserve">Корпус UC2 30.40.20 IP66 USOLA </t>
  </si>
  <si>
    <t>U7521304025</t>
  </si>
  <si>
    <t xml:space="preserve">Корпус UC2 30.40.25 IP66 USOLA </t>
  </si>
  <si>
    <t>U7521403015</t>
  </si>
  <si>
    <t xml:space="preserve">Корпус UC2 40.30.15 IP66 USOLA </t>
  </si>
  <si>
    <t>U7521403020</t>
  </si>
  <si>
    <t xml:space="preserve">Корпус UC2 40.30.20 IP66 USOLA </t>
  </si>
  <si>
    <t>U7521403025</t>
  </si>
  <si>
    <t xml:space="preserve">Корпус UC2 40.30.25 IP66 USOLA </t>
  </si>
  <si>
    <t>U7521403515</t>
  </si>
  <si>
    <t xml:space="preserve">Корпус UC2 40.35.15 IP66 USOLA </t>
  </si>
  <si>
    <t>U7521403520</t>
  </si>
  <si>
    <t xml:space="preserve">Корпус UC2 40.35.20 IP66 USOLA </t>
  </si>
  <si>
    <t>U7521403525</t>
  </si>
  <si>
    <t xml:space="preserve">Корпус UC2 40.35.25 IP66 USOLA </t>
  </si>
  <si>
    <t>U7521404015</t>
  </si>
  <si>
    <t xml:space="preserve">Корпус UC2 40.40.15 IP66 USOLA </t>
  </si>
  <si>
    <t>U7521404020</t>
  </si>
  <si>
    <t xml:space="preserve">Корпус UC2 40.40.20 IP66 USOLA </t>
  </si>
  <si>
    <t>U7521404025</t>
  </si>
  <si>
    <t xml:space="preserve">Корпус UC2 40.40.25 IP66 USOLA </t>
  </si>
  <si>
    <t>U7521406015</t>
  </si>
  <si>
    <t xml:space="preserve">Корпус UC2 40.60.15 IP66 USOLA </t>
  </si>
  <si>
    <t>U7521406020</t>
  </si>
  <si>
    <t xml:space="preserve">Корпус UC2 40.60.20 IP66 USOLA </t>
  </si>
  <si>
    <t>U7521406025</t>
  </si>
  <si>
    <t xml:space="preserve">Корпус UC2 40.60.25 IP66 USOLA </t>
  </si>
  <si>
    <t>U7521453015</t>
  </si>
  <si>
    <t xml:space="preserve">Корпус UC2 45.30.15 IP66 USOLA </t>
  </si>
  <si>
    <t>U7521453020</t>
  </si>
  <si>
    <t xml:space="preserve">Корпус UC2 45.30.20 IP66 USOLA </t>
  </si>
  <si>
    <t>U7521453025</t>
  </si>
  <si>
    <t xml:space="preserve">Корпус UC2 45.30.25 IP66 USOLA </t>
  </si>
  <si>
    <t>U7521453515</t>
  </si>
  <si>
    <t xml:space="preserve">Корпус UC2 45.35.15 IP66 USOLA </t>
  </si>
  <si>
    <t>U7521453520</t>
  </si>
  <si>
    <t xml:space="preserve">Корпус UC2 45.35.20 IP66 USOLA </t>
  </si>
  <si>
    <t>U7521453525</t>
  </si>
  <si>
    <t xml:space="preserve">Корпус UC2 45.35.25 IP66 USOLA </t>
  </si>
  <si>
    <t>U7521454015</t>
  </si>
  <si>
    <t xml:space="preserve">Корпус UC2 45.40.15 IP66 USOLA </t>
  </si>
  <si>
    <t>U7521454020</t>
  </si>
  <si>
    <t xml:space="preserve">Корпус UC2 45.40.20 IP66 USOLA </t>
  </si>
  <si>
    <t>U7521454025</t>
  </si>
  <si>
    <t xml:space="preserve">Корпус UC2 45.40.25 IP66 USOLA </t>
  </si>
  <si>
    <t>U7521503015</t>
  </si>
  <si>
    <t xml:space="preserve">Корпус UC2 50.30.15 IP66 USOLA </t>
  </si>
  <si>
    <t>U7521503020</t>
  </si>
  <si>
    <t xml:space="preserve">Корпус UC2 50.30.20 IP66 USOLA </t>
  </si>
  <si>
    <t>U7521503025</t>
  </si>
  <si>
    <t xml:space="preserve">Корпус UC2 50.30.25 IP66 USOLA </t>
  </si>
  <si>
    <t>U7521503515</t>
  </si>
  <si>
    <t xml:space="preserve">Корпус UC2 50.35.15 IP66 USOLA </t>
  </si>
  <si>
    <t>U7521503520</t>
  </si>
  <si>
    <t xml:space="preserve">Корпус UC2 50.35.20 IP66 USOLA </t>
  </si>
  <si>
    <t>U7521503525</t>
  </si>
  <si>
    <t xml:space="preserve">Корпус UC2 50.35.25 IP66 USOLA </t>
  </si>
  <si>
    <t>U7521504015</t>
  </si>
  <si>
    <t xml:space="preserve">Корпус UC2 50.40.15 IP66 USOLA </t>
  </si>
  <si>
    <t>U7521504020</t>
  </si>
  <si>
    <t xml:space="preserve">Корпус UC2 50.40.20 IP66 USOLA </t>
  </si>
  <si>
    <t>U7521504025</t>
  </si>
  <si>
    <t xml:space="preserve">Корпус UC2 50.40.25 IP66 USOLA </t>
  </si>
  <si>
    <t>U7521504040</t>
  </si>
  <si>
    <t xml:space="preserve">Корпус UC2 50.40.40 IP66 USOLA </t>
  </si>
  <si>
    <t>U7521505015</t>
  </si>
  <si>
    <t xml:space="preserve">Корпус UC2 50.50.15 IP66 USOLA </t>
  </si>
  <si>
    <t>U7521505020</t>
  </si>
  <si>
    <t xml:space="preserve">Корпус UC2 50.50.20 IP66 USOLA </t>
  </si>
  <si>
    <t>U7521505025</t>
  </si>
  <si>
    <t xml:space="preserve">Корпус UC2 50.50.25 IP66 USOLA </t>
  </si>
  <si>
    <t>U7521603015</t>
  </si>
  <si>
    <t xml:space="preserve">Корпус UC2 60.30.15 IP66 USOLA </t>
  </si>
  <si>
    <t>U7521603020</t>
  </si>
  <si>
    <t xml:space="preserve">Корпус UC2 60.30.20 IP66 USOLA </t>
  </si>
  <si>
    <t>U7521603025</t>
  </si>
  <si>
    <t xml:space="preserve">Корпус UC2 60.30.25 IP66 USOLA </t>
  </si>
  <si>
    <t>U7521603515</t>
  </si>
  <si>
    <t xml:space="preserve">Корпус UC2 60.35.15 IP66 USOLA </t>
  </si>
  <si>
    <t>U7521603520</t>
  </si>
  <si>
    <t xml:space="preserve">Корпус UC2 60.35.20 IP66 USOLA </t>
  </si>
  <si>
    <t>U7521603525</t>
  </si>
  <si>
    <t xml:space="preserve">Корпус UC2 60.35.25 IP66 USOLA </t>
  </si>
  <si>
    <t>U7521604015</t>
  </si>
  <si>
    <t xml:space="preserve">Корпус UC2 60.40.15 IP66 USOLA </t>
  </si>
  <si>
    <t>U7521604020</t>
  </si>
  <si>
    <t xml:space="preserve">Корпус UC2 60.40.20 IP66 USOLA </t>
  </si>
  <si>
    <t>U7521604025</t>
  </si>
  <si>
    <t xml:space="preserve">Корпус UC2 60.40.25 IP66 USOLA </t>
  </si>
  <si>
    <t>U7521606020</t>
  </si>
  <si>
    <t xml:space="preserve">Корпус UC2 60.60.20 IP66 USOLA </t>
  </si>
  <si>
    <t>U7521606025</t>
  </si>
  <si>
    <t xml:space="preserve">Корпус UC2 60.60.25 IP66 USOLA </t>
  </si>
  <si>
    <t>U7521606030</t>
  </si>
  <si>
    <t xml:space="preserve">Корпус UC2 60.60.30 IP66 USOLA </t>
  </si>
  <si>
    <t>U7521606035</t>
  </si>
  <si>
    <t xml:space="preserve">Корпус UC2 60.60.35 IP66 USOLA </t>
  </si>
  <si>
    <t>U7521606040</t>
  </si>
  <si>
    <t xml:space="preserve">Корпус UC2 60.60.40 IP66 USOLA </t>
  </si>
  <si>
    <t>U7521608025</t>
  </si>
  <si>
    <t xml:space="preserve">Корпус UC2 60.80.25 IP66 USOLA </t>
  </si>
  <si>
    <t>U7521608030</t>
  </si>
  <si>
    <t xml:space="preserve">Корпус UC2 60.80.30 IP66 USOLA </t>
  </si>
  <si>
    <t>U7521608040</t>
  </si>
  <si>
    <t xml:space="preserve">Корпус UC2 60.80.40 IP66 USOLA </t>
  </si>
  <si>
    <t>U7521705025</t>
  </si>
  <si>
    <t xml:space="preserve">Корпус UC2 70.50.25 IP66 USOLA </t>
  </si>
  <si>
    <t>U7521705030</t>
  </si>
  <si>
    <t xml:space="preserve">Корпус UC2 70.50.30 IP66 USOLA </t>
  </si>
  <si>
    <t>U7521705040</t>
  </si>
  <si>
    <t xml:space="preserve">Корпус UC2 70.50.40 IP66 USOLA </t>
  </si>
  <si>
    <t>U7521757520</t>
  </si>
  <si>
    <t xml:space="preserve">Корпус UC2 75.75.20 IP66 USOLA </t>
  </si>
  <si>
    <t>U7521757530</t>
  </si>
  <si>
    <t xml:space="preserve">Корпус UC2 75.75.30 IP66 USOLA </t>
  </si>
  <si>
    <t>U7521757540</t>
  </si>
  <si>
    <t xml:space="preserve">Корпус UC2 75.75.40 IP66 USOLA </t>
  </si>
  <si>
    <t>U7521806025</t>
  </si>
  <si>
    <t xml:space="preserve">Корпус UC2 80.60.25 IP66 USOLA </t>
  </si>
  <si>
    <t>U7521806030</t>
  </si>
  <si>
    <t xml:space="preserve">Корпус UC2 80.60.30 IP66 USOLA </t>
  </si>
  <si>
    <t>U7521806040</t>
  </si>
  <si>
    <t xml:space="preserve">Корпус UC2 80.60.40 IP66 USOLA </t>
  </si>
  <si>
    <t>U7521808040</t>
  </si>
  <si>
    <t xml:space="preserve">Корпус UC2 80.80.40 IP66 USOLA </t>
  </si>
  <si>
    <t>Ширина
шкафа,
мм.</t>
  </si>
  <si>
    <t>Глубина
шкафа,
мм.</t>
  </si>
  <si>
    <t>FE 1066</t>
  </si>
  <si>
    <t>FE 1067</t>
  </si>
  <si>
    <t>FE 1060</t>
  </si>
  <si>
    <t>FE 1065</t>
  </si>
  <si>
    <t>FE 1068</t>
  </si>
  <si>
    <t>FE 1069</t>
  </si>
  <si>
    <t>FE 1070</t>
  </si>
  <si>
    <t>FE 1071</t>
  </si>
  <si>
    <t>FE 1061</t>
  </si>
  <si>
    <t>FE 1072</t>
  </si>
  <si>
    <t>FE 1073</t>
  </si>
  <si>
    <t>FE 1074</t>
  </si>
  <si>
    <t>FE 1062</t>
  </si>
  <si>
    <t>FE 1075</t>
  </si>
  <si>
    <t>FE 1076</t>
  </si>
  <si>
    <t>FE 1077</t>
  </si>
  <si>
    <t>FE 1078</t>
  </si>
  <si>
    <t>FE 1079</t>
  </si>
  <si>
    <t>FE 1080</t>
  </si>
  <si>
    <t>FE 1081</t>
  </si>
  <si>
    <t>FE 1001</t>
  </si>
  <si>
    <t>FE 1002</t>
  </si>
  <si>
    <t>FE 1003</t>
  </si>
  <si>
    <t>FE 1004</t>
  </si>
  <si>
    <t>FE 1005</t>
  </si>
  <si>
    <t>FE 1006</t>
  </si>
  <si>
    <t>FE 1007</t>
  </si>
  <si>
    <t>FE 1008</t>
  </si>
  <si>
    <t>FE 1009</t>
  </si>
  <si>
    <t>FE 1010</t>
  </si>
  <si>
    <t>FE 1011</t>
  </si>
  <si>
    <t>FE 1012</t>
  </si>
  <si>
    <t>FE 1013</t>
  </si>
  <si>
    <t>FE 1014</t>
  </si>
  <si>
    <t>FE 1015</t>
  </si>
  <si>
    <t>FE 1016</t>
  </si>
  <si>
    <t>FE 1017</t>
  </si>
  <si>
    <t>FE 1018</t>
  </si>
  <si>
    <t>FE 1019</t>
  </si>
  <si>
    <t>FE 1020</t>
  </si>
  <si>
    <t>FE 1021</t>
  </si>
  <si>
    <t>FE 1022</t>
  </si>
  <si>
    <t>высота</t>
  </si>
  <si>
    <t>FE 1023</t>
  </si>
  <si>
    <t>FE 1024</t>
  </si>
  <si>
    <t>FE 1025</t>
  </si>
  <si>
    <t>FE 1026</t>
  </si>
  <si>
    <t>FE 1027</t>
  </si>
  <si>
    <t>FE 1028</t>
  </si>
  <si>
    <t>FE 1029</t>
  </si>
  <si>
    <t>FE 1030</t>
  </si>
  <si>
    <t>FE 1031</t>
  </si>
  <si>
    <t>FE 1032</t>
  </si>
  <si>
    <t>FE 1033</t>
  </si>
  <si>
    <t>FE 1034</t>
  </si>
  <si>
    <t>FE 1035</t>
  </si>
  <si>
    <t>FE 1036</t>
  </si>
  <si>
    <t>FE 1037</t>
  </si>
  <si>
    <t>FE 1038</t>
  </si>
  <si>
    <t>FE 1039</t>
  </si>
  <si>
    <t>FE 1040</t>
  </si>
  <si>
    <t>FE 1041</t>
  </si>
  <si>
    <t>FE 1042</t>
  </si>
  <si>
    <t>FE 1043</t>
  </si>
  <si>
    <t>FE 1044</t>
  </si>
  <si>
    <t>FE 1045</t>
  </si>
  <si>
    <t>FE 1046</t>
  </si>
  <si>
    <t>FE 1047</t>
  </si>
  <si>
    <t>FE 1048</t>
  </si>
  <si>
    <t>FE 1049</t>
  </si>
  <si>
    <t>FE 1050</t>
  </si>
  <si>
    <t>FE 1051</t>
  </si>
  <si>
    <t>FE 1052</t>
  </si>
  <si>
    <t>FE 1053</t>
  </si>
  <si>
    <t>FE 1054</t>
  </si>
  <si>
    <t>FE 1055</t>
  </si>
  <si>
    <t>FE 1056</t>
  </si>
  <si>
    <t>FE 1057</t>
  </si>
  <si>
    <t>FE 1058</t>
  </si>
  <si>
    <t>FE 1059</t>
  </si>
  <si>
    <t>FE 1063</t>
  </si>
  <si>
    <t>FE 1064</t>
  </si>
  <si>
    <t>FE 1082</t>
  </si>
  <si>
    <t>FE 1083</t>
  </si>
  <si>
    <t>FE 1084</t>
  </si>
  <si>
    <t>FE 1085</t>
  </si>
  <si>
    <t>FE 1086</t>
  </si>
  <si>
    <t>FE 1087</t>
  </si>
  <si>
    <t>FE 1088</t>
  </si>
  <si>
    <t>FE 1089</t>
  </si>
  <si>
    <t>FE 1090</t>
  </si>
  <si>
    <t>FE 1091</t>
  </si>
  <si>
    <t>FE 1092</t>
  </si>
  <si>
    <t>FE 1093</t>
  </si>
  <si>
    <t>FE 1094</t>
  </si>
  <si>
    <t>FE 1095</t>
  </si>
  <si>
    <t>FE 1096</t>
  </si>
  <si>
    <t>FE 1097</t>
  </si>
  <si>
    <t>FE 1098</t>
  </si>
  <si>
    <t>FE 1099</t>
  </si>
  <si>
    <t>FE 1100</t>
  </si>
  <si>
    <t>FE 1101</t>
  </si>
  <si>
    <t>FE 1102</t>
  </si>
  <si>
    <t>FE 1103</t>
  </si>
  <si>
    <t>FE 1104</t>
  </si>
  <si>
    <t>FE 1105</t>
  </si>
  <si>
    <t>FE 1106</t>
  </si>
  <si>
    <t>FE 1107</t>
  </si>
  <si>
    <t>FE 1108</t>
  </si>
  <si>
    <t>FE 1109</t>
  </si>
  <si>
    <t>FE 1110</t>
  </si>
  <si>
    <t>FE 1111</t>
  </si>
  <si>
    <t>FE 1112</t>
  </si>
  <si>
    <t>FE 1113</t>
  </si>
  <si>
    <t>FE 1114</t>
  </si>
  <si>
    <t>Шкаф индивидуальной сборки</t>
  </si>
  <si>
    <t>MPS 180.60.50 1056-0</t>
  </si>
  <si>
    <t>MPS 180.60.60 1057-0</t>
  </si>
  <si>
    <t>MPS 180.80.50 1056-0</t>
  </si>
  <si>
    <t>MPS 180.80.60 2081-0</t>
  </si>
  <si>
    <t>MPS 200.60.40 1056-0</t>
  </si>
  <si>
    <t>MPS 200.60.60 1056-0</t>
  </si>
  <si>
    <t>MPS 200.60.60 2081-0</t>
  </si>
  <si>
    <t>MPS 200.60.60 2083F-0</t>
  </si>
  <si>
    <t>MPS 200.60.80 2081-0</t>
  </si>
  <si>
    <t>MPS 200.80.60 1056-0</t>
  </si>
  <si>
    <t>MPS 200.80.60 1057-0</t>
  </si>
  <si>
    <t>MPS 200.80.60 1057F-0</t>
  </si>
  <si>
    <t>MPS 200.80.60 1059F-0</t>
  </si>
  <si>
    <t>MPS 200.80.60 2080-0</t>
  </si>
  <si>
    <t>MPS 200.80.60 2081-0</t>
  </si>
  <si>
    <t>MPS 200.80.60 2083F-0</t>
  </si>
  <si>
    <t>MPS 200.80.60 20870-0</t>
  </si>
  <si>
    <t>MPS 200.80.60 35F-0</t>
  </si>
  <si>
    <t>MPS 200.80.80 2086-0</t>
  </si>
  <si>
    <t>MPS 220.80.100 1056-0</t>
  </si>
  <si>
    <t>U7702161050</t>
  </si>
  <si>
    <t>Корпус LC2 160.100.50 IP55 USOLA</t>
  </si>
  <si>
    <t>U7702181040</t>
  </si>
  <si>
    <t>Корпус LC2 180.100.40 IP55 USOLA</t>
  </si>
  <si>
    <t>U7702181240</t>
  </si>
  <si>
    <t>Корпус LC2 180.120.40 IP55 USOLA</t>
  </si>
  <si>
    <t>U7702181250</t>
  </si>
  <si>
    <t>Корпус LC2 180.120.50 IP55 USOLA</t>
  </si>
  <si>
    <t>U7702181260</t>
  </si>
  <si>
    <t>Корпус LC2 180.120.60 IP55 USOLA</t>
  </si>
  <si>
    <t>U7702201040</t>
  </si>
  <si>
    <t>Корпус LC2 200.100.40 IP55 USOLA</t>
  </si>
  <si>
    <t>U7702201050</t>
  </si>
  <si>
    <t>Корпус LC2 200.100.50 IP55 USOLA</t>
  </si>
  <si>
    <t>U7702201060</t>
  </si>
  <si>
    <t>Корпус LC2 200.100.60 IP55 USOLA</t>
  </si>
  <si>
    <t>U7702201250</t>
  </si>
  <si>
    <t>Корпус LC2 200.120.50 IP55 USOLA</t>
  </si>
  <si>
    <t>U7702201260</t>
  </si>
  <si>
    <t>Корпус LC2 200.120.60 IP55 USOLA</t>
  </si>
  <si>
    <t>U7702201280</t>
  </si>
  <si>
    <t>Корпус LC2 200.120.80 IP55 USOLA</t>
  </si>
  <si>
    <t>U7702221260</t>
  </si>
  <si>
    <t>Корпус LC2 220.120.60 IP55 USOLA</t>
  </si>
  <si>
    <t>Корпуса линейных шкафов LC2 с МП с одностворчатой дверью</t>
  </si>
  <si>
    <t>U7705126050</t>
  </si>
  <si>
    <t>Корпус LC2 120.60.50 IP55 USOLA</t>
  </si>
  <si>
    <t>U7705128050</t>
  </si>
  <si>
    <t>Корпус LC2 120.80.50 IP55 USOLA</t>
  </si>
  <si>
    <t>U7705146050</t>
  </si>
  <si>
    <t>Корпус LC2 140.60.50 IP55 USOLA</t>
  </si>
  <si>
    <t>U7705148050</t>
  </si>
  <si>
    <t>Корпус LC2 140.80.50 IP55 USOLA</t>
  </si>
  <si>
    <t>U7705166050</t>
  </si>
  <si>
    <t>Корпус LC2 160.60.50 IP55 USOLA</t>
  </si>
  <si>
    <t>U7705168040</t>
  </si>
  <si>
    <t>Корпус LC2 160.80.40 IP55 USOLA</t>
  </si>
  <si>
    <t>U7705168050</t>
  </si>
  <si>
    <t>Корпус LC2 160.80.50 IP55 USOLA</t>
  </si>
  <si>
    <t>U7705186040</t>
  </si>
  <si>
    <t>Корпус LC2 180.60.40 IP55 USOLA</t>
  </si>
  <si>
    <t>U7705186050</t>
  </si>
  <si>
    <t>Корпус LC2 180.60.50 IP55 USOLA</t>
  </si>
  <si>
    <t>U7705186060</t>
  </si>
  <si>
    <t>Корпус LC2 180.60.60 IP55 USOLA</t>
  </si>
  <si>
    <t>U7705188040</t>
  </si>
  <si>
    <t>Корпус LC2 180.80.40 IP55 USOLA</t>
  </si>
  <si>
    <t>U7705188050</t>
  </si>
  <si>
    <t>Корпус LC2 180.80.50 IP55 USOLA</t>
  </si>
  <si>
    <t>U7705188060</t>
  </si>
  <si>
    <t>Корпус LC2 180.80.60 IP55 USOLA</t>
  </si>
  <si>
    <t>U7705188080</t>
  </si>
  <si>
    <t>Корпус LC2 180.80.80 IP55 USOLA</t>
  </si>
  <si>
    <t>U7705204060</t>
  </si>
  <si>
    <t>Корпус LC2 200.40.60 IP55 USOLA</t>
  </si>
  <si>
    <t>U7705206040</t>
  </si>
  <si>
    <t>Корпус LC2 200.60.40 IP55 USOLA</t>
  </si>
  <si>
    <t>U7705206050</t>
  </si>
  <si>
    <t>Корпус LC2 200.60.50 IP55 USOLA</t>
  </si>
  <si>
    <t>U7705206060</t>
  </si>
  <si>
    <t>Корпус LC2 200.60.60 IP55 USOLA</t>
  </si>
  <si>
    <t>U7705206080</t>
  </si>
  <si>
    <t>Корпус LC2 200.60.80 IP55 USOLA</t>
  </si>
  <si>
    <t>U7705208040</t>
  </si>
  <si>
    <t>Корпус LC2 200.80.40 IP55 USOLA</t>
  </si>
  <si>
    <t>U7705208050</t>
  </si>
  <si>
    <t>Корпус LC2 200.80.50 IP55 USOLA</t>
  </si>
  <si>
    <t>U7705208060</t>
  </si>
  <si>
    <t>Корпус LC2 200.80.60 IP55 USOLA</t>
  </si>
  <si>
    <t>U7705208080</t>
  </si>
  <si>
    <t>Корпус LC2 200.80.80 IP55 USOLA</t>
  </si>
  <si>
    <t>U7705226060</t>
  </si>
  <si>
    <t>Корпус LC2 220.60.60 IP55 USOLA</t>
  </si>
  <si>
    <t>U7705226080</t>
  </si>
  <si>
    <t>Корпус LC2 220.60.80 IP55 USOLA</t>
  </si>
  <si>
    <t>U7705228060</t>
  </si>
  <si>
    <t>Корпус LC2 220.80.60 IP55 USOLA</t>
  </si>
  <si>
    <t>U7705228080</t>
  </si>
  <si>
    <t>Корпус LC2 220.80.80 IP55 USOLA</t>
  </si>
  <si>
    <t xml:space="preserve">Степень защиты </t>
  </si>
  <si>
    <t xml:space="preserve">Кол-во клемм </t>
  </si>
  <si>
    <t xml:space="preserve">1х26, 2хРЕ </t>
  </si>
  <si>
    <t>СS1001</t>
  </si>
  <si>
    <t xml:space="preserve">1х30 </t>
  </si>
  <si>
    <t>СS1002</t>
  </si>
  <si>
    <t xml:space="preserve">1х32, 4хРЕ </t>
  </si>
  <si>
    <t>СS1003</t>
  </si>
  <si>
    <t xml:space="preserve">1х66, 1х59, 5хРЕ </t>
  </si>
  <si>
    <t>СS1004</t>
  </si>
  <si>
    <t>СS2001</t>
  </si>
  <si>
    <t>СS2002</t>
  </si>
  <si>
    <t>СS2003</t>
  </si>
  <si>
    <t>СS2004</t>
  </si>
  <si>
    <t xml:space="preserve">- </t>
  </si>
  <si>
    <t xml:space="preserve">1х11 </t>
  </si>
  <si>
    <t xml:space="preserve">1х14 </t>
  </si>
  <si>
    <t xml:space="preserve">1х18, 2хРЕ </t>
  </si>
  <si>
    <t xml:space="preserve">1х22 </t>
  </si>
  <si>
    <t>СS2101</t>
  </si>
  <si>
    <t>СS2102</t>
  </si>
  <si>
    <t>СS2103</t>
  </si>
  <si>
    <t>СS2104</t>
  </si>
  <si>
    <t>СS2105</t>
  </si>
  <si>
    <t>СS2106</t>
  </si>
  <si>
    <t>СS2107</t>
  </si>
  <si>
    <t>СS2108</t>
  </si>
  <si>
    <t>MES 20.20.08</t>
  </si>
  <si>
    <t>MES 20.20.12</t>
  </si>
  <si>
    <t>MES 30.20.12</t>
  </si>
  <si>
    <t>MES 30.30.12</t>
  </si>
  <si>
    <t>MES 40.30.12</t>
  </si>
  <si>
    <t>СS1101</t>
  </si>
  <si>
    <t>СS1102</t>
  </si>
  <si>
    <t>СS1103</t>
  </si>
  <si>
    <t>СS1104</t>
  </si>
  <si>
    <t>СS1105</t>
  </si>
  <si>
    <t>СS1106</t>
  </si>
  <si>
    <t>СS1107</t>
  </si>
  <si>
    <t>СS1108</t>
  </si>
  <si>
    <t>MBS 10.10.06</t>
  </si>
  <si>
    <t>MBS 10.15.06</t>
  </si>
  <si>
    <t>MBS 12.12.06</t>
  </si>
  <si>
    <t>MBS 15.15.06</t>
  </si>
  <si>
    <t>MBS 15.15.08</t>
  </si>
  <si>
    <t>MBS 15.15.12</t>
  </si>
  <si>
    <t>MBS 15.20.08</t>
  </si>
  <si>
    <t>MBS 15.20.12</t>
  </si>
  <si>
    <t>MBS 15.30.08</t>
  </si>
  <si>
    <t>MBS 15.30.12</t>
  </si>
  <si>
    <t>MBS 20.20.08</t>
  </si>
  <si>
    <t>MBS 20.20.12</t>
  </si>
  <si>
    <t>MBS 20.30.08</t>
  </si>
  <si>
    <t>MBS 20.30.12</t>
  </si>
  <si>
    <t>MBS 20.40.08</t>
  </si>
  <si>
    <t>MBS 20.40.12</t>
  </si>
  <si>
    <t>MBS 30.30.08</t>
  </si>
  <si>
    <t>MBS 30.30.12</t>
  </si>
  <si>
    <t>MBS 30.40.08</t>
  </si>
  <si>
    <t>MBS 30.40.12</t>
  </si>
  <si>
    <t>MBS 30.60.08</t>
  </si>
  <si>
    <t>MBS 30.60.12</t>
  </si>
  <si>
    <t>MBS 40.40.12</t>
  </si>
  <si>
    <t>MBS 40.60.12</t>
  </si>
  <si>
    <t>MBS 40.80.12</t>
  </si>
  <si>
    <t>SES 100.80.30</t>
  </si>
  <si>
    <t>SES 120.80.30</t>
  </si>
  <si>
    <t>SES 30.20.15</t>
  </si>
  <si>
    <t>SES 30.40.15</t>
  </si>
  <si>
    <t>SES 40.30.15</t>
  </si>
  <si>
    <t>SES 40.40.21</t>
  </si>
  <si>
    <t>SES 50.40.21</t>
  </si>
  <si>
    <t>SES 50.50.21</t>
  </si>
  <si>
    <t>SES 60.40.21</t>
  </si>
  <si>
    <t>SES 60.60.25</t>
  </si>
  <si>
    <t>SES 70.50.25</t>
  </si>
  <si>
    <t>SES 80.60.30</t>
  </si>
  <si>
    <t>SBS 12.12.06</t>
  </si>
  <si>
    <t>SBS 15.15.08</t>
  </si>
  <si>
    <t>SBS 15.30.08</t>
  </si>
  <si>
    <t>SBS 20.20.08</t>
  </si>
  <si>
    <t>SBS 20.30.08</t>
  </si>
  <si>
    <t>SBS 30.30.12</t>
  </si>
  <si>
    <t>SBS 30.40.12</t>
  </si>
  <si>
    <t>U7541101006</t>
  </si>
  <si>
    <t xml:space="preserve">Клеммная коробка ТВ 10.10.06 IP66 USOLA </t>
  </si>
  <si>
    <t>U7541101506</t>
  </si>
  <si>
    <t xml:space="preserve">Клеммная коробка ТВ 10.15.06 IP66 USOLA </t>
  </si>
  <si>
    <t>U7541121206</t>
  </si>
  <si>
    <t xml:space="preserve">Клеммная коробкаТВ 12.12.06 IP66 USOLA </t>
  </si>
  <si>
    <t>U7541151506</t>
  </si>
  <si>
    <t xml:space="preserve">Клеммная коробка ТВ 15.15.06 IP66 USOLA </t>
  </si>
  <si>
    <t>U7541151508</t>
  </si>
  <si>
    <t xml:space="preserve">Клеммная коробка ТВ 15.15.08 IP66 USOLA </t>
  </si>
  <si>
    <t>U7541151512</t>
  </si>
  <si>
    <t xml:space="preserve">Клеммная коробка ТВ 15.15.12 IP66 USOLA </t>
  </si>
  <si>
    <t>U7541152008</t>
  </si>
  <si>
    <t xml:space="preserve">Клеммная коробка ТВ 15.20.08 IP66 USOLA </t>
  </si>
  <si>
    <t>U7541152012</t>
  </si>
  <si>
    <t xml:space="preserve">Клеммная коробка ТВ 15.20.12 IP66 USOLA </t>
  </si>
  <si>
    <t>U7541152508</t>
  </si>
  <si>
    <t xml:space="preserve">Клеммная коробка ТВ 15.25.08 IP66 USOLA </t>
  </si>
  <si>
    <t>U7541153008</t>
  </si>
  <si>
    <t xml:space="preserve">Клеммная коробка ТВ 15.30.08 IP66 USOLA </t>
  </si>
  <si>
    <t>U7541153012</t>
  </si>
  <si>
    <t xml:space="preserve">Клеммная коробка ТВ 15.30.12 IP66 USOLA </t>
  </si>
  <si>
    <t>U7541154012</t>
  </si>
  <si>
    <t>Клеммная коробка ТВ 15.40.12 IP66 USOLA</t>
  </si>
  <si>
    <t>U7541202008</t>
  </si>
  <si>
    <t xml:space="preserve">Клеммная коробка ТВ 20.20.08 IP66 USOLA </t>
  </si>
  <si>
    <t>U7541202012</t>
  </si>
  <si>
    <t xml:space="preserve">Клеммная коробка ТВ 20.20.12 IP66 USOLA </t>
  </si>
  <si>
    <t>U7541203008</t>
  </si>
  <si>
    <t xml:space="preserve">Клеммная коробка ТВ 20.30.08 IP66 USOLA </t>
  </si>
  <si>
    <t>U7541203012</t>
  </si>
  <si>
    <t xml:space="preserve">Клеммная коробка ТВ 20.30.12 IP66 USOLA </t>
  </si>
  <si>
    <t>U7541204008</t>
  </si>
  <si>
    <t xml:space="preserve">Клеммная коробка ТВ 20.40.08 IP66 USOLA </t>
  </si>
  <si>
    <t>U7541204012</t>
  </si>
  <si>
    <t xml:space="preserve">Клеммная коробка ТВ 20.40.12 IP66 USOLA </t>
  </si>
  <si>
    <t>U7541205012</t>
  </si>
  <si>
    <t xml:space="preserve">Клеммная коробка ТВ 20.50.12 IP66 USOLA </t>
  </si>
  <si>
    <t>U7541206008</t>
  </si>
  <si>
    <t xml:space="preserve">Клеммная коробка ТВ 20.60.08 IP66 USOLA </t>
  </si>
  <si>
    <t>U7541206012</t>
  </si>
  <si>
    <t xml:space="preserve">Клеммная коробка ТВ 20.60.12 IP66 USOLA </t>
  </si>
  <si>
    <t>U7541208012</t>
  </si>
  <si>
    <t xml:space="preserve">Клеммная коробка ТВ 20.80.12 IP66 USOLA </t>
  </si>
  <si>
    <t>U7541303008</t>
  </si>
  <si>
    <t xml:space="preserve">Клеммная коробка ТВ 30.30.08 IP66 USOLA </t>
  </si>
  <si>
    <t>U7541303012</t>
  </si>
  <si>
    <t xml:space="preserve">Клеммная коробка ТВ 30.30.12 IP66 USOLA </t>
  </si>
  <si>
    <t>U7541304008</t>
  </si>
  <si>
    <t xml:space="preserve">Клеммная коробка ТВ 30.40.08 IP66 USOLA </t>
  </si>
  <si>
    <t>U7541304012</t>
  </si>
  <si>
    <t xml:space="preserve">Клеммная коробка ТВ 30.40.12 IP66 USOLA </t>
  </si>
  <si>
    <t>U7541305012</t>
  </si>
  <si>
    <t xml:space="preserve">Клеммная коробка ТВ 30.50.12 IP66 USOLA </t>
  </si>
  <si>
    <t>U7541306008</t>
  </si>
  <si>
    <t>Клеммная коробка ТВ 30.60.08 IP66 USOLA</t>
  </si>
  <si>
    <t>U7541306012</t>
  </si>
  <si>
    <t xml:space="preserve">Клеммная коробка ТВ 30.60.12 IP66 USOLA </t>
  </si>
  <si>
    <t>U7541404012</t>
  </si>
  <si>
    <t xml:space="preserve">Клеммная коробка ТВ 40.40.12 IP66 USOLA </t>
  </si>
  <si>
    <t>U7541406012</t>
  </si>
  <si>
    <t xml:space="preserve">Клеммная коробка ТВ 40.60.12 IP66 USOLA </t>
  </si>
  <si>
    <t>U7541408012</t>
  </si>
  <si>
    <t xml:space="preserve">Клеммная коробка ТВ 40.80.12 IP66 USOLA </t>
  </si>
  <si>
    <t>U7592101006</t>
  </si>
  <si>
    <t xml:space="preserve">Клеммная коробка ТВ 10.10.06 из нержавеющей стали IP 66 USOLA </t>
  </si>
  <si>
    <t>U7592121206</t>
  </si>
  <si>
    <t>U7592151508</t>
  </si>
  <si>
    <t xml:space="preserve">Клеммная коробка ТВ 15.15.08 из нержавеющей стали IP 66 USOLA </t>
  </si>
  <si>
    <t>U7592153008</t>
  </si>
  <si>
    <t xml:space="preserve">Клеммная коробка ТВ 15.30.08 из нержавеющей стали IP 66 USOLA </t>
  </si>
  <si>
    <t>U7592202008</t>
  </si>
  <si>
    <t xml:space="preserve">Клеммная коробка ТВ 20.20.08 из нержавеющей стали IP 66 USOLA </t>
  </si>
  <si>
    <t>U7592203008</t>
  </si>
  <si>
    <t xml:space="preserve">Клеммная коробка ТВ 20.30.08 из нержавеющей стали IP 66 USOLA </t>
  </si>
  <si>
    <t>U7592303012</t>
  </si>
  <si>
    <t xml:space="preserve">Клеммная коробка ТВ 30.30.12 из нержавеющей стали IP 66 USOLA </t>
  </si>
  <si>
    <t>U7592304012</t>
  </si>
  <si>
    <t xml:space="preserve">Клеммная коробка ТВ 30.40.12 из нержавеющей стали IP 66 USOLA </t>
  </si>
  <si>
    <t>Шкафы UC2 из нержавеющей стали</t>
  </si>
  <si>
    <t>U7582106030</t>
  </si>
  <si>
    <t xml:space="preserve">Корпус UC2 100.60.30 из нержавеющей стали IP66 USOLA </t>
  </si>
  <si>
    <t>U7582108030</t>
  </si>
  <si>
    <t xml:space="preserve">Корпус UC2 100.80.30 из нержавеющей стали IP66 USOLA </t>
  </si>
  <si>
    <t>U7582128030</t>
  </si>
  <si>
    <t xml:space="preserve">Корпус UC2 120.80.30 из нержавеющей стали IP66 USOLA </t>
  </si>
  <si>
    <t>U7582302015</t>
  </si>
  <si>
    <t xml:space="preserve">Корпус UC2 30.20.15 из нержавеющей стали IP66 USOLA </t>
  </si>
  <si>
    <t>U7582304015</t>
  </si>
  <si>
    <t xml:space="preserve">Корпус UC2 30.40.15 из нержавеющей стали IP66 USOLA </t>
  </si>
  <si>
    <t>U7582403015</t>
  </si>
  <si>
    <t xml:space="preserve">Корпус UC2 40.30.15 из нержавеющей стали IP66 USOLA </t>
  </si>
  <si>
    <t>U7582403020</t>
  </si>
  <si>
    <t xml:space="preserve">Корпус UC2 40.30.20 из нержавеющей стали IP66 USOLA </t>
  </si>
  <si>
    <t>U7582404020</t>
  </si>
  <si>
    <t xml:space="preserve">Корпус UC2 40.40.20 из нержавеющей стали IP66 USOLA </t>
  </si>
  <si>
    <t>U7582406020</t>
  </si>
  <si>
    <t xml:space="preserve">Корпус UC2 40.60.20 из нержавеющей стали IP66 USOLA </t>
  </si>
  <si>
    <t>U7582504020</t>
  </si>
  <si>
    <t xml:space="preserve">Корпус UC2 50.40.20 из нержавеющей стали IP66 USOLA </t>
  </si>
  <si>
    <t>U7582505020</t>
  </si>
  <si>
    <t xml:space="preserve">Корпус UC2 50.50.20 из нержавеющей стали IP66 USOLA </t>
  </si>
  <si>
    <t>U7582604020</t>
  </si>
  <si>
    <t xml:space="preserve">Корпус UC2 60.40.20 из нержавеющей стали IP66 USOLA </t>
  </si>
  <si>
    <t>U7582606025</t>
  </si>
  <si>
    <t xml:space="preserve">Корпус UC2 60.60.25 из нержавеющей стали IP66 USOLA </t>
  </si>
  <si>
    <t>U7582705025</t>
  </si>
  <si>
    <t xml:space="preserve">Корпус UC2 70.50.25 из нержавеющей стали IP66 USOLA </t>
  </si>
  <si>
    <t>U7582806030</t>
  </si>
  <si>
    <t xml:space="preserve">Корпус UC2 80.60.30 из нержавеющей стали IP66 USOLA </t>
  </si>
  <si>
    <t>U7582808040</t>
  </si>
  <si>
    <t xml:space="preserve">Корпус UC2 80.80.40 из нержавеющей стали IP66 USOLA </t>
  </si>
  <si>
    <t>IPEX</t>
  </si>
  <si>
    <t>AE Шкаф RAL7035, с МП, 380x300x155mm</t>
  </si>
  <si>
    <t>AE Шкаф RAL7035 с МП, 380x300x210mm</t>
  </si>
  <si>
    <t>AE Шкаф, RAL7035, с МП, 200x300x120mm</t>
  </si>
  <si>
    <t>AE Шкаф RAL7035, с МП, 300x300x210mm</t>
  </si>
  <si>
    <t>AE Шкаф RAL7035, с МП, 300x400x210mm</t>
  </si>
  <si>
    <t>AE Шкаф RAL7035, с МП, 200x300x155mm</t>
  </si>
  <si>
    <t xml:space="preserve">AE Шкаф RAL7035 с МП, 300x300x155mm </t>
  </si>
  <si>
    <t xml:space="preserve">AE Шкаф RAL7035 с МП, 400x800x300mm </t>
  </si>
  <si>
    <t>AE Шкаф RAL7035, с МП, 380x600x210mm</t>
  </si>
  <si>
    <t>AE Шкаф RAL7035, с МП, 600x380x210mm</t>
  </si>
  <si>
    <t>AE Шкаф RAL7035 с МП, 400x500x210mm</t>
  </si>
  <si>
    <t>AE Шкаф RAL7035 с МП, 500x500x210mm</t>
  </si>
  <si>
    <t>AE Шкаф RAL7035 с МП, 600x600x250mm</t>
  </si>
  <si>
    <t>AE Шкаф RAL7035 с МП, 800x600x300mm</t>
  </si>
  <si>
    <t>AE Шкаф RAL7035 с МП, 500x700x250mm</t>
  </si>
  <si>
    <t>AE Шкаф RAL7035, с МП, 600x800x250mm</t>
  </si>
  <si>
    <t>AE Шкаф RAL7035, с МП, 600x600x210mm</t>
  </si>
  <si>
    <t>AE Шкаф RAL7035, с МП, 760x760x300mm</t>
  </si>
  <si>
    <t>AE Шкаф RAL7035, с МП, 600x760x210mm</t>
  </si>
  <si>
    <t>AE Шкаф RAL7035 с МП, 760x760x210mm</t>
  </si>
  <si>
    <t>AE Шкаф RAL7035, с МП, 600x1000x250mm</t>
  </si>
  <si>
    <t>AE Шкаф RAL7035, с МП, 1000x760x210mm</t>
  </si>
  <si>
    <t>AE Шкаф RAL7035, с МП, 1000x1000x300mm</t>
  </si>
  <si>
    <t>AE Шкаф RAL7035, с МП, 1000x1400x300mm</t>
  </si>
  <si>
    <t>AE Шкаф RAL7035 с МП, 1000x760x300mm</t>
  </si>
  <si>
    <t>AE Шкаф RAL7035, с МП, 800x1000x300mm</t>
  </si>
  <si>
    <t>AE Шкаф RAL7035, с МП, 1000x1200x300mm</t>
  </si>
  <si>
    <t>AE Шкаф RAL7035 с МП, 600x1200x300mm</t>
  </si>
  <si>
    <t>AE Шкаф RAL7035, с МП, 800x1200x300mm</t>
  </si>
  <si>
    <t>AE Шкаф RAL7035, с МП, 380x600x350mm</t>
  </si>
  <si>
    <t>AE Шкаф RAL7035, с МП, 600x380x350mm</t>
  </si>
  <si>
    <t>AE Шкаф RAL7035, с МП, 500x500x300mm</t>
  </si>
  <si>
    <t>AE Шкаф RAL7035, с МП, 600x600x350mm</t>
  </si>
  <si>
    <t>AE Шкаф RAL7035, с МП, 600x760x350mm</t>
  </si>
  <si>
    <t>AE Шкаф RAL7035, с МП, 380x380x210mm</t>
  </si>
  <si>
    <t>Rittal</t>
  </si>
  <si>
    <t>AE Шкаф, нерж.сталь с МП 200x300x120mm</t>
  </si>
  <si>
    <t>AE Шкаф, нерж.сталь с МП 200x300x155mm</t>
  </si>
  <si>
    <t>AE Шкаф, нерж.сталь с МП 300x300x210mm</t>
  </si>
  <si>
    <t>AE Шкаф, нерж.сталь с МП 380x300x155mm</t>
  </si>
  <si>
    <t>AE Шкаф, нерж.сталь с МП 300x380x210mm</t>
  </si>
  <si>
    <t>AE Шкаф, нерж.сталь с МП 380x380x210mm</t>
  </si>
  <si>
    <t>AE Шкаф, нерж.сталь с МП 500x500x210mm</t>
  </si>
  <si>
    <t>AE Шкаф, нерж.сталь с МП 380x600x210mm</t>
  </si>
  <si>
    <t>AE Шкаф, нерж.сталь с МП600x380x210mm</t>
  </si>
  <si>
    <t xml:space="preserve">AE Шкаф, нерж.сталь с МП 600x600x210mm </t>
  </si>
  <si>
    <t>AE Шкаф, нерж.сталь с МП 600x600x210mm</t>
  </si>
  <si>
    <t>AE Шкаф, нерж.сталь с МП 380x300x210mm</t>
  </si>
  <si>
    <t xml:space="preserve">AE Шкаф, нерж.сталь с МП 600x760x210mm </t>
  </si>
  <si>
    <t>AE Шкаф, нерж.сталь с МП 500x500x300mm</t>
  </si>
  <si>
    <t>AE Шкаф, нерж.сталь с МП 760x760x300mm</t>
  </si>
  <si>
    <t>AE Шкаф, нерж.сталь с МП 400x500x210mm</t>
  </si>
  <si>
    <t>AE Шкаф,нерж.сталь с МП 800x1000x300mm</t>
  </si>
  <si>
    <t>AE Шкаф,нерж.сталь с МП 800x1200x300mm</t>
  </si>
  <si>
    <t>AE Шкаф,нерж.сталь с МП1000x1000x300mm</t>
  </si>
  <si>
    <t>AE Шкаф,нерж.сталь с МП1000x1200x300mm</t>
  </si>
  <si>
    <t>EB Электрошкафчик 150x300x80mm RAL7035</t>
  </si>
  <si>
    <t>EB Электрошкафчик 200x200x80mm RAL7035</t>
  </si>
  <si>
    <t>EB Электрошкафчик 200x400x80mm RAL7035</t>
  </si>
  <si>
    <t xml:space="preserve">EB Электрошкафчик 150x300x120mm RAL7035 </t>
  </si>
  <si>
    <t>EB Электрошкафчик 200x200x120mm RAL7035</t>
  </si>
  <si>
    <t>EB Электрошкафчик 200x400x120mm RAL7035</t>
  </si>
  <si>
    <t>EB Электрошкафчик 150x150x80mm RAL7035</t>
  </si>
  <si>
    <t>EB Электрошкафчик 200x300x80mm RAL7035</t>
  </si>
  <si>
    <t>EB Электрошкафчик150x150x120мм RАL7035</t>
  </si>
  <si>
    <t>EB Электрошкафчик 200x300x120mm RAL7035</t>
  </si>
  <si>
    <t>EB Электрошкафчик 300x300x120mm RAL7035</t>
  </si>
  <si>
    <t>EB Электрошкафчик 300x400x120mm RAL7035</t>
  </si>
  <si>
    <t>EB Электрошкафчик 200x500x120mm RAL7035</t>
  </si>
  <si>
    <t>EB Электрошкафчик 300x400x155 RAL7035</t>
  </si>
  <si>
    <t>EB Электрошкафчик 300x600x155mm RAL7035</t>
  </si>
  <si>
    <t>EB Электрошкафчик 300x800x155mm RAL7035</t>
  </si>
  <si>
    <t>R5CE0231</t>
  </si>
  <si>
    <t>Навесной шкаф CE, 200 х 300 х 150мм, IP66</t>
  </si>
  <si>
    <t>R5CE0331</t>
  </si>
  <si>
    <t>Навесной шкаф CE, 300 x 300 x 150мм, IP66</t>
  </si>
  <si>
    <t>R5CE0341</t>
  </si>
  <si>
    <t>Навесной шкаф CE, 300 x 400 x 150мм, IP66</t>
  </si>
  <si>
    <t>R5CE0342</t>
  </si>
  <si>
    <t>Навесной шкаф CE, 300 х 400 х 200мм, IP66</t>
  </si>
  <si>
    <t>R5CE0391</t>
  </si>
  <si>
    <t>Навесной шкаф CE, 300 x 250 x 150мм, IP66</t>
  </si>
  <si>
    <t>R5CE0431</t>
  </si>
  <si>
    <t>Навесной шкаф CE, 400 x 300 x 150мм, IP66</t>
  </si>
  <si>
    <t>R5CE0432</t>
  </si>
  <si>
    <t>Навесной шкаф CE, 400 x 300 x 200мм, IP66</t>
  </si>
  <si>
    <t>R5CE0442</t>
  </si>
  <si>
    <t>Навесной шкаф CE, 400 x 400 x 200мм, IP66</t>
  </si>
  <si>
    <t>R5CE0462</t>
  </si>
  <si>
    <t>Навесной шкаф CE, 400 x 600 x 200мм, IP65</t>
  </si>
  <si>
    <t>R5CE0531</t>
  </si>
  <si>
    <t>Навесной шкаф CE, 500 x 300 x 150мм, IP66</t>
  </si>
  <si>
    <t>R5CE0532</t>
  </si>
  <si>
    <t>Навесной шкаф CE, 500 x 300 x 200мм, IP66</t>
  </si>
  <si>
    <t>R5CE0542</t>
  </si>
  <si>
    <t>Навесной шкаф CE, 500 x 400 x 200мм, IP66</t>
  </si>
  <si>
    <t>R5CE0549</t>
  </si>
  <si>
    <t>Навесной шкаф CE, 500 x 400 x 250мм, IP65</t>
  </si>
  <si>
    <t>R5CE0552</t>
  </si>
  <si>
    <t>Навесной шкаф CE, 500 x 500 x 200мм, IP65</t>
  </si>
  <si>
    <t>R5CE0553</t>
  </si>
  <si>
    <t>Навесной шкаф CE, 500 х 500 х 300мм, IP65</t>
  </si>
  <si>
    <t>R5CE0562</t>
  </si>
  <si>
    <t>Навесной шкаф CE, 500 х 600 х 200мм, IP65</t>
  </si>
  <si>
    <t>R5CE0563</t>
  </si>
  <si>
    <t>Навесной шкаф CE, 500 х 600 х 300мм, IP65</t>
  </si>
  <si>
    <t>R5CE0642</t>
  </si>
  <si>
    <t>Навесной шкаф CE, 600 x 400 x 200мм, IP65</t>
  </si>
  <si>
    <t>R5CE0644</t>
  </si>
  <si>
    <t>Навесной шкаф CE, 600 x 400 x 400мм, IP65</t>
  </si>
  <si>
    <t>R5CE0649</t>
  </si>
  <si>
    <t>Навесной шкаф CE, 600 x 400 x 250мм, IP65</t>
  </si>
  <si>
    <t>R5CE0652</t>
  </si>
  <si>
    <t>Навесной шкаф CE, 600 х 500 х 200мм,IP65</t>
  </si>
  <si>
    <t>R5CE0664</t>
  </si>
  <si>
    <t>Навесной шкаф CE, 600 x 600 x 400мм, IP65</t>
  </si>
  <si>
    <t>R5CE0669</t>
  </si>
  <si>
    <t>Навесной шкаф CE, 600 x 600 x 250мм, IP65</t>
  </si>
  <si>
    <t>R5CE0752</t>
  </si>
  <si>
    <t>Навесной шкаф CE, 700 x 500 x 200мм, IP65</t>
  </si>
  <si>
    <t>R5CE0759</t>
  </si>
  <si>
    <t>Навесной шкаф CE, 700 x 500 x 250мм, IP65</t>
  </si>
  <si>
    <t>R5CE0862</t>
  </si>
  <si>
    <t>Навесной шкаф CE, 800 х 600 х 200мм, IP65</t>
  </si>
  <si>
    <t>R5CE0863</t>
  </si>
  <si>
    <t>Навесной шкаф CE, 800 x 600 x 300мм, IP65</t>
  </si>
  <si>
    <t>R5CE0864</t>
  </si>
  <si>
    <t>Навесной шкаф CE, 800 x 600 x 400мм, IP65</t>
  </si>
  <si>
    <t>R5CE0869</t>
  </si>
  <si>
    <t>Навесной шкаф CE, 800 x 600 x 250мм, IP65</t>
  </si>
  <si>
    <t>R5CE0882</t>
  </si>
  <si>
    <t>Навесной шкаф CE, 800 х 800 х 200мм, IP65</t>
  </si>
  <si>
    <t>R5CE0883</t>
  </si>
  <si>
    <t>Навесной шкаф CE, 800 x 800 x 300мм, IP65</t>
  </si>
  <si>
    <t>R5CE0884</t>
  </si>
  <si>
    <t>Навесной шкаф CE, 800 x 800 x 400мм, IP65</t>
  </si>
  <si>
    <t>R5CE1063</t>
  </si>
  <si>
    <t>Навесной шкаф CE, 1000 x 600 x 300мм, IP65</t>
  </si>
  <si>
    <t>R5CE1064</t>
  </si>
  <si>
    <t>Навесной шкаф CE, 1000 x 600 x 400мм, IP65</t>
  </si>
  <si>
    <t>R5CE1069</t>
  </si>
  <si>
    <t>Навесной шкаф CE, 1000 x 600 x 250мм, IP65</t>
  </si>
  <si>
    <t>R5CE1083</t>
  </si>
  <si>
    <t>Навесной шкаф CE, 1000 x 800 x 300мм, IP65</t>
  </si>
  <si>
    <t>R5CE1084</t>
  </si>
  <si>
    <t>Навесной шкаф CE, 1000 x 800 x 400мм, IP65</t>
  </si>
  <si>
    <t>R5CE1263</t>
  </si>
  <si>
    <t>Навесной шкаф CE, 1200 x 600 x 300мм, IP65</t>
  </si>
  <si>
    <t>R5CE1283</t>
  </si>
  <si>
    <t>Навесной шкаф CE, 1200 x 800 x 300мм, IP65</t>
  </si>
  <si>
    <t>R5CE1463</t>
  </si>
  <si>
    <t>Навесной шкаф CE, 1400 x 600 x 300мм, IP65</t>
  </si>
  <si>
    <t>R5CE1483</t>
  </si>
  <si>
    <t>Навесной шкаф CE, 1400 x 800 x 300мм, IP65</t>
  </si>
  <si>
    <t>DKS (CE)</t>
  </si>
  <si>
    <t>R5ST1483</t>
  </si>
  <si>
    <t>Корпус сварной навесной серии ST с М/П Размер: 1400 x 800 x300 мм (В х Ш х Г)</t>
  </si>
  <si>
    <t>R5ST1463</t>
  </si>
  <si>
    <t>Корпус сварной навесной серии ST с М/П Размер: 1400 x 600 x300 мм (В х Ш х Г)</t>
  </si>
  <si>
    <t>R5ST1284</t>
  </si>
  <si>
    <t>Корпус сварной навесной серии ST с М/П Размер: 1200 x 800 x400 мм (В х Ш х Г)</t>
  </si>
  <si>
    <t>R5ST1283</t>
  </si>
  <si>
    <t>Корпус сварной навесной серии ST с М/П Размер: 1200 x 800 x300 мм (В х Ш х Г)</t>
  </si>
  <si>
    <t>R5ST1264</t>
  </si>
  <si>
    <t>Корпус сварной навесной серии ST с М/П Размер: 1200 x 600 x400 мм (В х Ш х Г)</t>
  </si>
  <si>
    <t>R5ST1263</t>
  </si>
  <si>
    <t>Корпус сварной навесной серии ST с М/П Размер: 1200 x 600 x300 мм (В х Ш х Г)</t>
  </si>
  <si>
    <t>R5ST1262</t>
  </si>
  <si>
    <t>Корпус сварной навесной серии ST с М/П Размер: 1200 x 600 x200 мм (В х Ш х Г)</t>
  </si>
  <si>
    <t>R5ST1084</t>
  </si>
  <si>
    <t>Корпус сварной навесной серии ST с М/П Размер: 1000 x 800 x400 мм (В х Ш х Г)</t>
  </si>
  <si>
    <t>R5ST1083</t>
  </si>
  <si>
    <t>Корпус сварной навесной серии ST с М/П Размер: 1000 x 800 x300 мм (В х Ш х Г)</t>
  </si>
  <si>
    <t>R5ST1069</t>
  </si>
  <si>
    <t>Корпус сварной навесной серии ST с М/П Размер: 1000 x 600 x250 мм (В х Ш х Г)</t>
  </si>
  <si>
    <t>R5ST1064</t>
  </si>
  <si>
    <t>Корпус сварной навесной серии ST с М/П Размер: 1000 x 600 x400 мм (В х Ш х Г)</t>
  </si>
  <si>
    <t>R5ST1063</t>
  </si>
  <si>
    <t>Корпус сварной навесной серии ST с М/П Размер: 1000 x 600 x300 мм (В х Ш х Г)</t>
  </si>
  <si>
    <t>R5ST0884</t>
  </si>
  <si>
    <t>Корпус сварной навесной серии ST с М/П Размер: 800 x 800 x 400 мм (В х Ш х Г)</t>
  </si>
  <si>
    <t>R5ST0883</t>
  </si>
  <si>
    <t>Корпус сварной навесной серии ST с М/П Размер: 800 x 800 x 300 мм (В х Ш х Г)</t>
  </si>
  <si>
    <t>R5ST0862</t>
  </si>
  <si>
    <t>Корпус сварной навесной серии ST с М/П Размер: 800 x 600 x 200 мм (В х Ш х Г)</t>
  </si>
  <si>
    <t>R5ST0863</t>
  </si>
  <si>
    <t>Корпус сварной навесной серии ST с М/П Размер: 800 x 600 x 300 мм (В х Ш х Г)</t>
  </si>
  <si>
    <t>R5ST0864</t>
  </si>
  <si>
    <t>Корпус сварной навесной серии ST с М/П Размер: 800 x 600 x 400 мм (В х Ш х Г)</t>
  </si>
  <si>
    <t>R5ST0869</t>
  </si>
  <si>
    <t>Корпус сварной навесной серии ST с М/П Размер: 800 x 600 x 250 мм (В х Ш х Г)</t>
  </si>
  <si>
    <t>R5ST0882</t>
  </si>
  <si>
    <t>Корпус сварной навесной серии ST с М/П Размер: 800 x 800 x 200 мм (В х Ш х Г)</t>
  </si>
  <si>
    <t>R5ST0759</t>
  </si>
  <si>
    <t>Корпус сварной навесной серии ST с М/П Размер: 700 x 500 x 250 мм (В х Ш х Г)</t>
  </si>
  <si>
    <t>R5ST0752</t>
  </si>
  <si>
    <t>Корпус сварной навесной серии ST с М/П Размер: 700 x 500 x 200 мм (В х Ш х Г)</t>
  </si>
  <si>
    <t>R5ST0669</t>
  </si>
  <si>
    <t>Корпус сварной навесной серии ST с М/П Размер: 600 x 600 x 250 мм (В х Ш х Г)</t>
  </si>
  <si>
    <t>R5ST0664</t>
  </si>
  <si>
    <t>Корпус сварной навесной серии ST с М/П Размер: 600 x 600 x 400 мм (В х Ш х Г)</t>
  </si>
  <si>
    <t>R5ST0652</t>
  </si>
  <si>
    <t>Корпус сварной навесной серии ST с М/П Размер: 600 x 500 x 200 мм (В х Ш х Г)</t>
  </si>
  <si>
    <t>R5ST0649</t>
  </si>
  <si>
    <t>Корпус сварной навесной серии ST с М/П Размер: 600 x 400 x 250 мм (В х Ш х Г)</t>
  </si>
  <si>
    <t>R5ST0644</t>
  </si>
  <si>
    <t>Корпус сварной навесной серии ST с М/П Размер: 600 x 400 x 400 мм (В х Ш х Г)</t>
  </si>
  <si>
    <t>R5ST0642</t>
  </si>
  <si>
    <t>Корпус сварной навесной серии ST с М/П Размер: 600 x 400 x 200 мм (В х Ш х Г)</t>
  </si>
  <si>
    <t>R5ST0563</t>
  </si>
  <si>
    <t>Корпус сварной навесной серии ST с М/П Размер: 500 x 600 x 300 мм (В х Ш х Г)</t>
  </si>
  <si>
    <t>R5ST0562</t>
  </si>
  <si>
    <t>Корпус сварной навесной серии ST с М/П Размер: 500 x 600 x 200 мм (В х Ш х Г)</t>
  </si>
  <si>
    <t>R5ST0553</t>
  </si>
  <si>
    <t>Корпус сварной навесной серии ST с М/П Размер: 500 x 500 x 300 мм (В х Ш х Г)</t>
  </si>
  <si>
    <t>R5ST0552</t>
  </si>
  <si>
    <t>Корпус сварной навесной серии ST с М/П Размер: 500 x 500 x 200 мм (В х Ш х Г)</t>
  </si>
  <si>
    <t>R5ST0549</t>
  </si>
  <si>
    <t>Корпус сварной навесной серии ST с М/П Размер: 500 x 400 x 250 мм (В х Ш х Г)</t>
  </si>
  <si>
    <t>R5ST0542</t>
  </si>
  <si>
    <t>Корпус сварной навесной серии ST с М/П Размер: 500 x 400 x 200 мм (В х Ш х Г)</t>
  </si>
  <si>
    <t>R5ST0532</t>
  </si>
  <si>
    <t>Корпус сварной навесной серии ST с М/П Размер: 500 x 300 x 200 мм (В х Ш х Г)</t>
  </si>
  <si>
    <t>R5ST0531</t>
  </si>
  <si>
    <t>Корпус сварной навесной серии ST с М/П Размер: 500 x 300 x 150 мм (В х Ш х Г)</t>
  </si>
  <si>
    <t>R5ST0462</t>
  </si>
  <si>
    <t>Корпус сварной навесной серии ST с М/П Размер: 400 x 600 x 200 мм (В х Ш х Г)</t>
  </si>
  <si>
    <t>R5ST0442</t>
  </si>
  <si>
    <t>Корпус сварной навесной серии ST с М/П Размер: 400 x 400 x 200 мм (В х Ш х Г)</t>
  </si>
  <si>
    <t>R5ST0432</t>
  </si>
  <si>
    <t>Корпус сварной навесной серии ST с М/П Размер: 400 x 300 x 200 мм (В х Ш х Г)</t>
  </si>
  <si>
    <t>R5ST0431</t>
  </si>
  <si>
    <t>Корпус сварной навесной серии ST с М/П Размер: 400 x 300 x 150 мм (В х Ш х Г)</t>
  </si>
  <si>
    <t>R5ST0391</t>
  </si>
  <si>
    <t>Корпус сварной навесной серии ST с М/П Размер: 300 x 250 x 150 мм (В х Ш х Г)</t>
  </si>
  <si>
    <t>R5ST0342</t>
  </si>
  <si>
    <t>Корпус сварной навесной серии ST с М/П Размер: 300 x 400 x 200 мм (В х Ш х Г)</t>
  </si>
  <si>
    <t>R5ST0341</t>
  </si>
  <si>
    <t>Корпус сварной навесной серии ST с М/П Размер: 300 x 400 x 150 мм (В х Ш х Г)</t>
  </si>
  <si>
    <t>R5ST0331</t>
  </si>
  <si>
    <t>Корпус сварной навесной серии ST с М/П Размер: 300 x 300 x 150 мм (В х Ш х Г)</t>
  </si>
  <si>
    <t>R5ST0231</t>
  </si>
  <si>
    <t>Корпус сварной навесной серии ST с М/П Размер: 200 x 300 x 150 мм (В х Ш х Г)</t>
  </si>
  <si>
    <t>DKS (ST)</t>
  </si>
  <si>
    <t>3,126.06</t>
  </si>
  <si>
    <t>3,866.00</t>
  </si>
  <si>
    <t>3,983.30</t>
  </si>
  <si>
    <t>4,926.00</t>
  </si>
  <si>
    <t>3,833.29</t>
  </si>
  <si>
    <t>4,741.00</t>
  </si>
  <si>
    <t>В течение 2 дн.</t>
  </si>
  <si>
    <t>Уточнить</t>
  </si>
  <si>
    <t>2+</t>
  </si>
  <si>
    <t>4+</t>
  </si>
  <si>
    <t>5+</t>
  </si>
  <si>
    <t>1+</t>
  </si>
  <si>
    <t>6+</t>
  </si>
  <si>
    <t>наличие в Казани</t>
  </si>
  <si>
    <t>Прайс ЭТМ (розница)</t>
  </si>
  <si>
    <t xml:space="preserve">цена ЭТМ со скидкой </t>
  </si>
  <si>
    <t>AE Щит с монтажной панелью ЩМП 600x600x210 мм IP66 (1060500)</t>
  </si>
  <si>
    <t>RITTAL/AE</t>
  </si>
  <si>
    <t>7,110.80</t>
  </si>
  <si>
    <t>8,794.00</t>
  </si>
  <si>
    <t>AE Щит с монтажной панелью ЩМП 380x380x210 мм IP66 (1380500)</t>
  </si>
  <si>
    <t>4,444.07</t>
  </si>
  <si>
    <t>5,496.00</t>
  </si>
  <si>
    <t>AE Щит с монтажной панелью ЩМП 300x400x210 мм IP66 (1034500)</t>
  </si>
  <si>
    <t>4,462.64</t>
  </si>
  <si>
    <t>5,519.00</t>
  </si>
  <si>
    <t>AE Щит с монтажной панелью ЩМП 600x800x250 мм IP66 (1058500)</t>
  </si>
  <si>
    <t>10,821.92</t>
  </si>
  <si>
    <t>13,383.00</t>
  </si>
  <si>
    <t>AE Щит с монтажной панелью ЩМП 600x1000x250 мм IP66 (1090500)</t>
  </si>
  <si>
    <t>3+</t>
  </si>
  <si>
    <t>12,357.09</t>
  </si>
  <si>
    <t>15,282.00</t>
  </si>
  <si>
    <t>AE Щит с монтажной панелью ЩМП 400x500x210 мм IP66 (1045500)</t>
  </si>
  <si>
    <t>5,138.43</t>
  </si>
  <si>
    <t>6,355.00</t>
  </si>
  <si>
    <t>AE Щит с монтажной панелью ЩМП 600x600x350 мм IP66 (1360500)</t>
  </si>
  <si>
    <t>10,846.93</t>
  </si>
  <si>
    <t>13,414.00</t>
  </si>
  <si>
    <t>AE Щит с монтажной панелью ЩМП 800x1000x300 мм IP66 (1180500)</t>
  </si>
  <si>
    <t>14,188.72</t>
  </si>
  <si>
    <t>17,547.00</t>
  </si>
  <si>
    <t>AE Щит с монтажной панелью ЩМП 500х700х250мм IP66 (1057500)</t>
  </si>
  <si>
    <t>8,067.46</t>
  </si>
  <si>
    <t>11,105.00</t>
  </si>
  <si>
    <t>8,979.58</t>
  </si>
  <si>
    <t>AE Щит с монтажной панелью ЩМП 380x600x210 мм IP66 (1038500)</t>
  </si>
  <si>
    <t>5,452.04</t>
  </si>
  <si>
    <t>6,742.00</t>
  </si>
  <si>
    <t>AE Шкаф однодверный 600x1200x300мм RAL7035 (1260500)</t>
  </si>
  <si>
    <t>15,772.47</t>
  </si>
  <si>
    <t>19,506.00</t>
  </si>
  <si>
    <t>AE Шкаф 600x380x210мм с монтажной платой RAL7035 (1039500)</t>
  </si>
  <si>
    <t>5,870.65</t>
  </si>
  <si>
    <t>7,260.00</t>
  </si>
  <si>
    <t>Шарнир двери 180град д/AE 2шт (2449000)</t>
  </si>
  <si>
    <t>1,116.55</t>
  </si>
  <si>
    <t>1,381.00</t>
  </si>
  <si>
    <t>AE Шкаф 1000x1200x300мм с монтажной платой нержавеющая сталь (1019600)</t>
  </si>
  <si>
    <t>60,625.26</t>
  </si>
  <si>
    <t>83,451.00</t>
  </si>
  <si>
    <t>67,479.62</t>
  </si>
  <si>
    <t>AE Щит с монтажной панелью ЩМП 200х300х155 мм IP66 (1035500)</t>
  </si>
  <si>
    <t>AE Шкаф 500x500x300мм с монтажной платой RAL7035 (1350500)</t>
  </si>
  <si>
    <t>8,645.97</t>
  </si>
  <si>
    <t>10,692.00</t>
  </si>
  <si>
    <t>CM Компактн распред.шкаф 1000x1400x400mm (5122500)</t>
  </si>
  <si>
    <t>RITTAL/CM</t>
  </si>
  <si>
    <t>39,931.58</t>
  </si>
  <si>
    <t>49,383.00</t>
  </si>
  <si>
    <t>AE Шкаф 300x300x210мм с монтажной платой RAL7035 (1033500)</t>
  </si>
  <si>
    <t>4,100.46</t>
  </si>
  <si>
    <t>5,071.00</t>
  </si>
  <si>
    <t>AE Шкаф 380x600x350мм с монтажной платой RAL7035 (1338500)</t>
  </si>
  <si>
    <t>9,276.75</t>
  </si>
  <si>
    <t>11,472.00</t>
  </si>
  <si>
    <t>AE Шкаф однодверный 500x500x210мм RAL7035 (1050500)</t>
  </si>
  <si>
    <t>6,244.97</t>
  </si>
  <si>
    <t>7,723.00</t>
  </si>
  <si>
    <t>AE Шкаф 600x760x210мм с монтажной платой RAL7035 (1076500)</t>
  </si>
  <si>
    <t>9,051.72</t>
  </si>
  <si>
    <t>11,194.00</t>
  </si>
  <si>
    <t>AE Шкаф распределительный 400x800x300мм RAL7035 (1037500)</t>
  </si>
  <si>
    <t>11,762.74</t>
  </si>
  <si>
    <t>14,547.00</t>
  </si>
  <si>
    <t>AE Щит с монтажной панелью ЩМП 800x1200x300 мм IP66 (1280500)</t>
  </si>
  <si>
    <t>18,064.16</t>
  </si>
  <si>
    <t>22,340.00</t>
  </si>
  <si>
    <t>AE Щит с монтажной панелью ЩМП 300x300x155мм IP66 (1036500)</t>
  </si>
  <si>
    <t>AE Шкаф 200x300x120мм с монтажной платой нержавеющая сталь (1001600)</t>
  </si>
  <si>
    <t>10,123.99</t>
  </si>
  <si>
    <t>12,520.00</t>
  </si>
  <si>
    <t>AE Шкаф 380x300x210мм с монтажной платой нержавеющая сталь (1011600)</t>
  </si>
  <si>
    <t>13,862.26</t>
  </si>
  <si>
    <t>17,143.00</t>
  </si>
  <si>
    <t>CM Компактн распред.шкаф 1200x1200x400mm (5123500)</t>
  </si>
  <si>
    <t>35,171.76</t>
  </si>
  <si>
    <t>43,496.00</t>
  </si>
  <si>
    <t>AE Шкаф 600x760x350мм с монтажной платой RAL7035 (1376500)</t>
  </si>
  <si>
    <t>12,832.15</t>
  </si>
  <si>
    <t>15,869.00</t>
  </si>
  <si>
    <t>AE Шкаф 760x760x300мм с монтажной платой RAL7035 (1073500)</t>
  </si>
  <si>
    <t>12,529.97</t>
  </si>
  <si>
    <t>15,496.00</t>
  </si>
  <si>
    <t>CM Шкаф распределительный компактный 800x1200x400 мм (5117500)</t>
  </si>
  <si>
    <t>26,379.36</t>
  </si>
  <si>
    <t>32,623.00</t>
  </si>
  <si>
    <t>AE Шкаф распределительный 600x600x250мм RAL7035 (1054500)</t>
  </si>
  <si>
    <t>9,140.30</t>
  </si>
  <si>
    <t>11,304.00</t>
  </si>
  <si>
    <t>AE Шкаф 760x760x300мм с монтажной платой нержавеющая сталь (1014600)</t>
  </si>
  <si>
    <t>41,717.48</t>
  </si>
  <si>
    <t>51,591.00</t>
  </si>
  <si>
    <t>AE Шкаф 800x1000x300мм с монтажной платой нержавеющая сталь (1016600)</t>
  </si>
  <si>
    <t>47,394.55</t>
  </si>
  <si>
    <t>58,612.00</t>
  </si>
  <si>
    <t>CM Компактный распред.шкаф 600x800x400mm (5110500)</t>
  </si>
  <si>
    <t>15,671.04</t>
  </si>
  <si>
    <t>19,380.00</t>
  </si>
  <si>
    <t>AE Шкаф 300x380x210мм с монтажной платой нержавеющая сталь (1005600)</t>
  </si>
  <si>
    <t>14,273.02</t>
  </si>
  <si>
    <t>17,651.00</t>
  </si>
  <si>
    <t>CM Компактн. распред.шкаф 600x1200x300mm (5112500)</t>
  </si>
  <si>
    <t>17,885.57</t>
  </si>
  <si>
    <t>22,119.00</t>
  </si>
  <si>
    <t>CM Шкаф распределительный компактный 800x1000x400 мм (5115500)</t>
  </si>
  <si>
    <t>22,521.07</t>
  </si>
  <si>
    <t>27,851.00</t>
  </si>
  <si>
    <t>AE Шкаф 760x760x210мм RAL7035 с монтажной платой (1077500)</t>
  </si>
  <si>
    <t>11,763.46</t>
  </si>
  <si>
    <t>14,548.00</t>
  </si>
  <si>
    <t>CM Компактн. распред.шкаф 600x1000x400mm (5111500)</t>
  </si>
  <si>
    <t>18,982.83</t>
  </si>
  <si>
    <t>23,476.00</t>
  </si>
  <si>
    <t>AE Шкаф 600x600x210мм с монтажной платой нержавеющая сталь (1010600)</t>
  </si>
  <si>
    <t>25,239.94</t>
  </si>
  <si>
    <t>31,214.00</t>
  </si>
  <si>
    <t>AE Шкаф 500x500x300мм с монтажной платой нержавеющая сталь (1013600)</t>
  </si>
  <si>
    <t>24,263.41</t>
  </si>
  <si>
    <t>30,006.00</t>
  </si>
  <si>
    <t>AE Шкаф 400x500x210мм с монтажной платой нержавеющая сталь (1015600)</t>
  </si>
  <si>
    <t>18,647.08</t>
  </si>
  <si>
    <t>23,060.00</t>
  </si>
  <si>
    <t>AE Шкаф 200x300x155мм с монтажной платой нержавеющая сталь (1002600)</t>
  </si>
  <si>
    <t>11,575.58</t>
  </si>
  <si>
    <t>14,315.00</t>
  </si>
  <si>
    <t>AE Шкаф 1000x1000x300мм с монтажной платой RAL7035 (1110500)</t>
  </si>
  <si>
    <t>20,747.30</t>
  </si>
  <si>
    <t>25,658.00</t>
  </si>
  <si>
    <t>AE Шкаф 1000x1400x300мм с монтажной платой RAL7035 (1114500)</t>
  </si>
  <si>
    <t>30,550.53</t>
  </si>
  <si>
    <t>37,781.00</t>
  </si>
  <si>
    <t>AE Шкаф 380x300x155мм с монтажной платой RAL7035 (1030500)</t>
  </si>
  <si>
    <t>AE Шкаф 1000x1200x300мм с монтажной платой RAL7035 (1213500)</t>
  </si>
  <si>
    <t>25,371.39</t>
  </si>
  <si>
    <t>31,376.00</t>
  </si>
  <si>
    <t>Щит с монтажной панелью ЩМП 200х300х120 мм IP66 АЕ (1032500)</t>
  </si>
  <si>
    <t>2,771.74</t>
  </si>
  <si>
    <t>3,428.00</t>
  </si>
  <si>
    <t>AE Шкаф распределительный окрашенный 600x600x350мм (1360502)</t>
  </si>
  <si>
    <t>10,564.03</t>
  </si>
  <si>
    <t>13,064.00</t>
  </si>
  <si>
    <t>AE Шкаф распределительный 1000x1200x300мм без монтажной платы (1213310)</t>
  </si>
  <si>
    <t>25,310.67</t>
  </si>
  <si>
    <t>31,301.00</t>
  </si>
  <si>
    <t>AE Шкаф распределительный 1000x1400x300мм без монтажной платы (1114510)</t>
  </si>
  <si>
    <t>27,845.95</t>
  </si>
  <si>
    <t>34,437.00</t>
  </si>
  <si>
    <t>AE Шкаф распределительный грунтованный 1000x760x210мм (1100800)</t>
  </si>
  <si>
    <t>18,697.80</t>
  </si>
  <si>
    <t>23,123.00</t>
  </si>
  <si>
    <t>AE Шкаф распределительный окрашенный 380x300x210мм (1031502)</t>
  </si>
  <si>
    <t>3,941.15</t>
  </si>
  <si>
    <t>4,874.00</t>
  </si>
  <si>
    <t>AE Шкаф 380x380x210мм RAL7035 без монтажной платы (1380510)</t>
  </si>
  <si>
    <t>4,120.47</t>
  </si>
  <si>
    <t>5,096.00</t>
  </si>
  <si>
    <t>AE Шкаф EMV 600x380x210мм RAL7035 с монтажной платой (1039750)</t>
  </si>
  <si>
    <t>н/д</t>
  </si>
  <si>
    <t>AE Шкаф распределительный окрашенный 600x600x210мм (1060502)</t>
  </si>
  <si>
    <t>6,305.70</t>
  </si>
  <si>
    <t>7,798.00</t>
  </si>
  <si>
    <t>CM Компактный распред.шкаф 600x800x400mm (5110800)</t>
  </si>
  <si>
    <t>15,543.87</t>
  </si>
  <si>
    <t>19,223.00</t>
  </si>
  <si>
    <t>CM Компактн распред.шкаф 1000x1200x300mm (5119500)</t>
  </si>
  <si>
    <t>27,000.13</t>
  </si>
  <si>
    <t>33,391.00</t>
  </si>
  <si>
    <t>CM Компактн распред.шкаф 1200x1200x400mm (5123800)</t>
  </si>
  <si>
    <t>34,668.13</t>
  </si>
  <si>
    <t>42,873.00</t>
  </si>
  <si>
    <t>AE Шкаф распределительный 800x1200x300мм без монтажной платы (1280510)</t>
  </si>
  <si>
    <t>16,413.25</t>
  </si>
  <si>
    <t>20,298.00</t>
  </si>
  <si>
    <t>AE Шкаф распределительный грунтованный 300x300x210мм (1033800)</t>
  </si>
  <si>
    <t>4,054.03</t>
  </si>
  <si>
    <t>5,014.00</t>
  </si>
  <si>
    <t>AE Шкаф распределительный грунтованный 380x300x210мм (1031800)</t>
  </si>
  <si>
    <t>4,144.75</t>
  </si>
  <si>
    <t>5,126.00</t>
  </si>
  <si>
    <t>AE Шкаф распределительный 1000x760x300мм без монтажной платы (1130510)</t>
  </si>
  <si>
    <t>17,634.82</t>
  </si>
  <si>
    <t>21,809.00</t>
  </si>
  <si>
    <t>AE Шкаф распределительный грунтованный 1000x1000x300мм (1110800)</t>
  </si>
  <si>
    <t>19,877.22</t>
  </si>
  <si>
    <t>24,582.00</t>
  </si>
  <si>
    <t>AE Шкаф распределительный окрашенный 800x1000x300мм (1180502)</t>
  </si>
  <si>
    <t>13,760.10</t>
  </si>
  <si>
    <t>17,017.00</t>
  </si>
  <si>
    <t>AE Шкаф распределительный грунтованный 600x1200x300мм (1260800)</t>
  </si>
  <si>
    <t>15,110.25</t>
  </si>
  <si>
    <t>18,687.00</t>
  </si>
  <si>
    <t>AE Шкаф распределительный 400x500x210мм без монтажной платы (1045510)</t>
  </si>
  <si>
    <t>4,769.10</t>
  </si>
  <si>
    <t>5,898.00</t>
  </si>
  <si>
    <t>AE Шкаф распределительный окрашенный 380x300x155мм (1030502)</t>
  </si>
  <si>
    <t>3,474.68</t>
  </si>
  <si>
    <t>4,297.00</t>
  </si>
  <si>
    <t>HD Системный шкаф 400х1800х500мм нерж.сталь 1.4301 1шт (4000485)</t>
  </si>
  <si>
    <t>RITTAL/HD</t>
  </si>
  <si>
    <t>AE Шкаф распределительный 500x700x250мм без монтажной платы (1057510)</t>
  </si>
  <si>
    <t>8,459.51</t>
  </si>
  <si>
    <t>10,462.00</t>
  </si>
  <si>
    <t>AE Шкаф распределительный грунтованный 800x1000x300мм (1180800)</t>
  </si>
  <si>
    <t>14,007.28</t>
  </si>
  <si>
    <t>17,323.00</t>
  </si>
  <si>
    <t>AE Шкаф 600x380x210мм без монтажной платы нержавеющая сталь (1009010)</t>
  </si>
  <si>
    <t>AE Шкаф распределительный грунтованный 600x380x350мм (1339800)</t>
  </si>
  <si>
    <t>9,337.47</t>
  </si>
  <si>
    <t>11,547.00</t>
  </si>
  <si>
    <t>HD Шкаф д/огнетушителя 400х1120х300 нерж.сталь 1.4301 1шт (4000074)</t>
  </si>
  <si>
    <t>74,763.84</t>
  </si>
  <si>
    <t>92,459.00</t>
  </si>
  <si>
    <t>AE Шкаф распределительный грунтованный 1000x1400x300мм (1114800)</t>
  </si>
  <si>
    <t>29,330.41</t>
  </si>
  <si>
    <t>36,272.00</t>
  </si>
  <si>
    <t>AE Шкаф распределительный окрашенный 500x500x300мм (1350502)</t>
  </si>
  <si>
    <t>8,428.80</t>
  </si>
  <si>
    <t>10,424.00</t>
  </si>
  <si>
    <t>AE Шкаф распределительный 760x760x300мм без монтажной платы (1073510)</t>
  </si>
  <si>
    <t>11,727.74</t>
  </si>
  <si>
    <t>14,503.00</t>
  </si>
  <si>
    <t>AE Шкаф 380x600x210мм без монтажной платы нержавеющая сталь (1008010)</t>
  </si>
  <si>
    <t>AE Шкаф распределительный 1000x1000x300мм без монтажной платы (1110510)</t>
  </si>
  <si>
    <t>18,792.81</t>
  </si>
  <si>
    <t>23,241.00</t>
  </si>
  <si>
    <t>AE Шкаф распределительный 600x600x350мм без монтажной платы (1360310)</t>
  </si>
  <si>
    <t>11,682.73</t>
  </si>
  <si>
    <t>14,448.00</t>
  </si>
  <si>
    <t>AE Шкаф распределительный 600x1000x250мм без монтажной платы (1090510)</t>
  </si>
  <si>
    <t>11,199.10</t>
  </si>
  <si>
    <t>13,850.00</t>
  </si>
  <si>
    <t>AE Шкаф 760x760x300мм без монтажной платы нержавеющая сталь (1014010)</t>
  </si>
  <si>
    <t>CM Компактн. распред.шкаф 800x1000x300mm (5114500)</t>
  </si>
  <si>
    <t>19,150.00</t>
  </si>
  <si>
    <t>23,682.00</t>
  </si>
  <si>
    <t>CM Компактн распред.шкаф 1000x1000x300mm (5118800)</t>
  </si>
  <si>
    <t>24,240.55</t>
  </si>
  <si>
    <t>29,978.00</t>
  </si>
  <si>
    <t>AE Шкаф распределительный 600x380x210мм без монтажной платы (1039512)</t>
  </si>
  <si>
    <t>5,259.15</t>
  </si>
  <si>
    <t>6,504.00</t>
  </si>
  <si>
    <t>CM Компактн. распред.шкаф 600x1000x400mm (5111800)</t>
  </si>
  <si>
    <t>18,812.81</t>
  </si>
  <si>
    <t>23,265.00</t>
  </si>
  <si>
    <t>AE Шкаф распределительный окрашенный 500x500x210мм (1050502)</t>
  </si>
  <si>
    <t>5,837.08</t>
  </si>
  <si>
    <t>7,219.00</t>
  </si>
  <si>
    <t>AE Шкаф распределительный окрашенный 200x300x155мм (1035502)</t>
  </si>
  <si>
    <t>3,038.21</t>
  </si>
  <si>
    <t>3,757.00</t>
  </si>
  <si>
    <t>AE Шкаф распределительный грунтованный 600x760x350мм (1376800)</t>
  </si>
  <si>
    <t>12,291.38</t>
  </si>
  <si>
    <t>15,201.00</t>
  </si>
  <si>
    <t>AE Шкаф распределительный 500x500x210мм без монтажной платы (1050510)</t>
  </si>
  <si>
    <t>5,797.79</t>
  </si>
  <si>
    <t>7,170.00</t>
  </si>
  <si>
    <t>AE Шкаф распределительный 380x300x155мм без монтажной платы (1030312)</t>
  </si>
  <si>
    <t>3,113.91</t>
  </si>
  <si>
    <t>3,851.00</t>
  </si>
  <si>
    <t>AE Шкаф распределительный грунтованный 200x300x120мм (1032800)</t>
  </si>
  <si>
    <t>2,743.89</t>
  </si>
  <si>
    <t>3,393.00</t>
  </si>
  <si>
    <t>AE Шкаф распределительный 600x760x350мм без монтажной платы (1376510)</t>
  </si>
  <si>
    <t>11,689.15</t>
  </si>
  <si>
    <t>14,456.00</t>
  </si>
  <si>
    <t>HD Системный шкаф 1200х1800х500мм нерж.сталь 1.4301 1шт (4000285)</t>
  </si>
  <si>
    <t>Свяжитесь с нами</t>
  </si>
  <si>
    <t>381,032.00</t>
  </si>
  <si>
    <t>AE Шкаф распределительный грунтованный 380x600x350мм (1338800)</t>
  </si>
  <si>
    <t>8,923.84</t>
  </si>
  <si>
    <t>11,036.00</t>
  </si>
  <si>
    <t>Ключи с замком VW-E1 (2532002)</t>
  </si>
  <si>
    <t>RITTAL</t>
  </si>
  <si>
    <t>Не поставляется</t>
  </si>
  <si>
    <t>1,350.00</t>
  </si>
  <si>
    <t>Холодильный агрегат арт.3329500 c обработкой для химических сред (3329509 (3329509/11747798/10)</t>
  </si>
  <si>
    <t>3329509/11747798/10</t>
  </si>
  <si>
    <t>291,656.00</t>
  </si>
  <si>
    <t>АЕ Шкаф, нерж.сталь с МП 600х380х210mm (1009500)</t>
  </si>
  <si>
    <t>4,192.61</t>
  </si>
  <si>
    <t>5,185.00</t>
  </si>
  <si>
    <t>Прайсовая цена ДКС, руб с НДС</t>
  </si>
  <si>
    <t>Курс Eвро</t>
  </si>
  <si>
    <t>Прайсовая цена Rittal, евро с НДС</t>
  </si>
  <si>
    <t>Прайсовая цена Rittal, руб с НДС</t>
  </si>
  <si>
    <t>Наименование</t>
  </si>
  <si>
    <t>Прайсовая цена, руб с НДС</t>
  </si>
  <si>
    <t>сумма со скидкой на объем складского запаса</t>
  </si>
  <si>
    <t>Цена со стандартной скидкой для щитовиков 25%</t>
  </si>
  <si>
    <t>скидка</t>
  </si>
  <si>
    <t>SЕ1001</t>
  </si>
  <si>
    <t>SE1002</t>
  </si>
  <si>
    <t>SE1004</t>
  </si>
  <si>
    <t>SE1005</t>
  </si>
  <si>
    <t>SE1006</t>
  </si>
  <si>
    <t>SE1007</t>
  </si>
  <si>
    <t>SE1008</t>
  </si>
  <si>
    <t>SE1009</t>
  </si>
  <si>
    <t>Е1001</t>
  </si>
  <si>
    <t>SE1003</t>
  </si>
  <si>
    <t>SE1010</t>
  </si>
  <si>
    <t>SE1011</t>
  </si>
  <si>
    <t>SE1012</t>
  </si>
  <si>
    <t>SE1013</t>
  </si>
  <si>
    <t>SE1014</t>
  </si>
  <si>
    <t>SE1015</t>
  </si>
  <si>
    <t>SE1016</t>
  </si>
  <si>
    <t>SE1017</t>
  </si>
  <si>
    <t>SE1018</t>
  </si>
  <si>
    <t>SE1019</t>
  </si>
  <si>
    <t>SE1020</t>
  </si>
  <si>
    <t>SE1021</t>
  </si>
  <si>
    <t>SE1022</t>
  </si>
  <si>
    <t>SE1023</t>
  </si>
  <si>
    <t>SE1024</t>
  </si>
  <si>
    <t>SE1025</t>
  </si>
  <si>
    <t>SE1026</t>
  </si>
  <si>
    <t>SE1027</t>
  </si>
  <si>
    <t>SE1028</t>
  </si>
  <si>
    <t>SE1029</t>
  </si>
  <si>
    <t>SE1030</t>
  </si>
  <si>
    <t>SE1031</t>
  </si>
  <si>
    <t>SE1032</t>
  </si>
  <si>
    <t>SE1033</t>
  </si>
  <si>
    <t>SE1034</t>
  </si>
  <si>
    <t>SE1035</t>
  </si>
  <si>
    <t>SE1036</t>
  </si>
  <si>
    <t>SE1037</t>
  </si>
  <si>
    <t>SE1038</t>
  </si>
  <si>
    <t>SE1039</t>
  </si>
  <si>
    <t>SE1040</t>
  </si>
  <si>
    <t>SE1041</t>
  </si>
  <si>
    <t>SE1042</t>
  </si>
  <si>
    <t>SE1043</t>
  </si>
  <si>
    <t>SE1044</t>
  </si>
  <si>
    <t>R5CEB03311</t>
  </si>
  <si>
    <t>Навесной шкаф CE из нержавеющей стали (AISI 304), 300 x 300x 150мм, без фланца</t>
  </si>
  <si>
    <t>R5CEB03411</t>
  </si>
  <si>
    <t>Навесной шкаф CE из нержавеющей стали (AISI 304), 300 x 400x 150мм, без фланца</t>
  </si>
  <si>
    <t>R5CEB03911</t>
  </si>
  <si>
    <t>Навесной шкаф CE из нержавеющей стали (AISI 304), 300 x 250x 150мм, без фланца</t>
  </si>
  <si>
    <t>R5CEB04311</t>
  </si>
  <si>
    <t>Навесной шкаф CE из нержавеющей стали (AISI 304), 400 x 300x 150мм, без фланца</t>
  </si>
  <si>
    <t>R5CEB04321</t>
  </si>
  <si>
    <t>Навесной шкаф CE из нержавеющей стали (AISI 304), 400 x 300x 200мм, без фланца</t>
  </si>
  <si>
    <t>R5CEB04421</t>
  </si>
  <si>
    <t>Навесной шкаф CE из нержавеющей стали (AISI 304), 400 x 400x 200мм, без фланца</t>
  </si>
  <si>
    <t>R5CEB04621</t>
  </si>
  <si>
    <t>Навесной шкаф CE из нержавеющей стали (AISI 304), 400 x 600x 200мм, без фланца</t>
  </si>
  <si>
    <t>R5CEB05311</t>
  </si>
  <si>
    <t>Навесной шкаф CE из нержавеющей стали (AISI 304), 500 x 300x 150мм, без фланца</t>
  </si>
  <si>
    <t>R5CEB05321</t>
  </si>
  <si>
    <t>Навесной шкаф CE из нержавеющей стали (AISI 304), 500 x 300x 200мм, без фланца</t>
  </si>
  <si>
    <t>R5CEB05421</t>
  </si>
  <si>
    <t>Навесной шкаф CE из нержавеющей стали (AISI 304), 500 x 400x 200мм, без фланца</t>
  </si>
  <si>
    <t>R5CEB05491</t>
  </si>
  <si>
    <t>Навесной шкаф CE из нержавеющей стали (AISI 304), 500 x 400x 250мм, без фланца</t>
  </si>
  <si>
    <t>R5CEB05521</t>
  </si>
  <si>
    <t>Навесной шкаф CE из нержавеющей стали (AISI 304), 500 x 500x 200мм, без фланца</t>
  </si>
  <si>
    <t>R5CEB06421</t>
  </si>
  <si>
    <t>Навесной шкаф CE из нержавеющей стали (AISI 304), 600 x 400x 200мм, без фланца</t>
  </si>
  <si>
    <t>R5CEB06441</t>
  </si>
  <si>
    <t>Навесной шкаф CE из нержавеющей стали (AISI 304), 600 x 400x 400мм, без фланца</t>
  </si>
  <si>
    <t>R5CEB06491</t>
  </si>
  <si>
    <t>Навесной шкаф CE из нержавеющей стали (AISI 304), 600 x 400x 250мм, без фланца</t>
  </si>
  <si>
    <t>R5CEB06641</t>
  </si>
  <si>
    <t>Навесной шкаф CE из нержавеющей стали (AISI 304), 600 x 600x 400мм, без фланца</t>
  </si>
  <si>
    <t>R5CEB06691</t>
  </si>
  <si>
    <t>Навесной шкаф CE из нержавеющей стали (AISI 304), 600 x 600x 250мм, без фланца</t>
  </si>
  <si>
    <t>R5CEB06831</t>
  </si>
  <si>
    <t>Навесной шкаф CE из нержавеющей стали (AISI 304), двухдверный, 600 x 800 x 300мм, без фланца</t>
  </si>
  <si>
    <t>R5CEB07521</t>
  </si>
  <si>
    <t>Навесной шкаф CE из нержавеющей стали (AISI 304), 700 x 500x 200мм, без фланца</t>
  </si>
  <si>
    <t>R5CEB07591</t>
  </si>
  <si>
    <t>Навесной шкаф CE из нержавеющей стали (AISI 304), 700 x 500x 250мм, без фланца</t>
  </si>
  <si>
    <t>R5CEB08121</t>
  </si>
  <si>
    <t>Навесной шкаф CE из нержавеющей стали (AISI 304), двухдверный, 800 x 1000 x 200мм, без фланца</t>
  </si>
  <si>
    <t>R5CEB08131</t>
  </si>
  <si>
    <t>Навесной шкаф CE из нержавеющей стали (AISI 304), двухдверный, 800 x 1000 x 300мм, без фланца</t>
  </si>
  <si>
    <t>R5CEB08631</t>
  </si>
  <si>
    <t>Навесной шкаф CE из нержавеющей стали (AISI 304), 800 x 600x 300мм, без фланца</t>
  </si>
  <si>
    <t>R5CEB08641</t>
  </si>
  <si>
    <t>Навесной шкаф CE из нержавеющей стали (AISI 304), 800 x 600x 400мм, без фланца</t>
  </si>
  <si>
    <t>R5CEB08691</t>
  </si>
  <si>
    <t>Навесной шкаф CE из нержавеющей стали (AISI 304), 800 x 600x 250мм, без фланца</t>
  </si>
  <si>
    <t>R5CEB08831</t>
  </si>
  <si>
    <t>Навесной шкаф CE из нержавеющей стали (AISI 304), 800 x 800x 300мм, без фланца</t>
  </si>
  <si>
    <t>R5CEB08841</t>
  </si>
  <si>
    <t>Навесной шкаф CE из нержавеющей стали (AISI 304), 800 x 800x 400мм, без фланца</t>
  </si>
  <si>
    <t>R5CEB10131</t>
  </si>
  <si>
    <t>Навесной шкаф CE из нержавеющей стали (AISI 304), двухдверный, 1000 x 1000 x 300мм, без фланца</t>
  </si>
  <si>
    <t>R5CEB10631</t>
  </si>
  <si>
    <t>Навесной шкаф CE из нержавеющей стали (AISI 304), 1000 x 600 x 300мм, без фланца</t>
  </si>
  <si>
    <t>R5CEB10641</t>
  </si>
  <si>
    <t>Навесной шкаф CE из нержавеющей стали (AISI 304), 1000 x 600 x 400мм, без фланца</t>
  </si>
  <si>
    <t>R5CEB10691</t>
  </si>
  <si>
    <t>Навесной шкаф CE из нержавеющей стали (AISI 304), 1000 x 600 x 250мм, без фланца</t>
  </si>
  <si>
    <t>R5CEB10831</t>
  </si>
  <si>
    <t>Навесной шкаф CE из нержавеющей стали (AISI 304), 1000 x 800 x 300мм, без фланца</t>
  </si>
  <si>
    <t>R5CEB10841</t>
  </si>
  <si>
    <t>Навесной шкаф CE из нержавеющей стали (AISI 304), 1000 x 800 x 400мм, без фланца</t>
  </si>
  <si>
    <t>R5CEB121231</t>
  </si>
  <si>
    <t>Навесной шкаф CE из нержавеющей стали (AISI 304), двухдверный, 1200 x 1200 x 300мм, без фланца</t>
  </si>
  <si>
    <t>R5CEB12131</t>
  </si>
  <si>
    <t>Навесной шкаф CE из нержавеющей стали (AISI 304), двухдверный, 1200 x 1000 x 300мм, без фланца</t>
  </si>
  <si>
    <t>R5CEB12631</t>
  </si>
  <si>
    <t>Навесной шкаф CE из нержавеющей стали (AISI 304), 1200 x 600 x 300мм, без фланца</t>
  </si>
  <si>
    <t>R5CEB12831</t>
  </si>
  <si>
    <t>Навесной шкаф CE из нержавеющей стали (AISI 304), 1200 x 800 x 300мм, без фланца</t>
  </si>
  <si>
    <t>R5CEB14131</t>
  </si>
  <si>
    <t>Навесной шкаф CE из нержавеющей стали (AISI 304), двухдверный, 1400 x 1000 x 300мм, без фланца</t>
  </si>
  <si>
    <t>R5CEB14631</t>
  </si>
  <si>
    <t>Навесной шкаф CE из нержавеющей стали (AISI 304), 1400 x 600 x 300мм, без фланца</t>
  </si>
  <si>
    <t>R5CEB14831</t>
  </si>
  <si>
    <t>Навесной шкаф CE из нержавеющей стали (AISI 304), 1400 x 800 x 300мм, без фланца</t>
  </si>
  <si>
    <t>11,630.22</t>
  </si>
  <si>
    <t>15,069.00</t>
  </si>
  <si>
    <t>12,118.19</t>
  </si>
  <si>
    <t>15,701.00</t>
  </si>
  <si>
    <t>13,083.07</t>
  </si>
  <si>
    <t>16,951.00</t>
  </si>
  <si>
    <t>13,124.28</t>
  </si>
  <si>
    <t>17,004.00</t>
  </si>
  <si>
    <t>15,217.15</t>
  </si>
  <si>
    <t>19,716.00</t>
  </si>
  <si>
    <t>17,003.33</t>
  </si>
  <si>
    <t>22,030.00</t>
  </si>
  <si>
    <t>19,620.37</t>
  </si>
  <si>
    <t>25,421.00</t>
  </si>
  <si>
    <t>14,256.42</t>
  </si>
  <si>
    <t>18,471.00</t>
  </si>
  <si>
    <t>16,924.56</t>
  </si>
  <si>
    <t>21,928.00</t>
  </si>
  <si>
    <t>18,417.74</t>
  </si>
  <si>
    <t>23,863.00</t>
  </si>
  <si>
    <t>19,906.03</t>
  </si>
  <si>
    <t>25,791.00</t>
  </si>
  <si>
    <t>20,650.74</t>
  </si>
  <si>
    <t>26,756.00</t>
  </si>
  <si>
    <t>19,757.80</t>
  </si>
  <si>
    <t>25,599.00</t>
  </si>
  <si>
    <t>22,047.84</t>
  </si>
  <si>
    <t>28,566.00</t>
  </si>
  <si>
    <t>25,647.18</t>
  </si>
  <si>
    <t>33,230.00</t>
  </si>
  <si>
    <t>36,703.95</t>
  </si>
  <si>
    <t>47,556.00</t>
  </si>
  <si>
    <t>37,362.29</t>
  </si>
  <si>
    <t>48,408.00</t>
  </si>
  <si>
    <t>23,891.22</t>
  </si>
  <si>
    <t>30,955.00</t>
  </si>
  <si>
    <t>26,370.84</t>
  </si>
  <si>
    <t>34,167.00</t>
  </si>
  <si>
    <t>30,618.86</t>
  </si>
  <si>
    <t>39,671.00</t>
  </si>
  <si>
    <t>33,439.15</t>
  </si>
  <si>
    <t>43,325.00</t>
  </si>
  <si>
    <t>38,538.87</t>
  </si>
  <si>
    <t>49,933.00</t>
  </si>
  <si>
    <t>47,545.02</t>
  </si>
  <si>
    <t>61,602.00</t>
  </si>
  <si>
    <t>54,342.40</t>
  </si>
  <si>
    <t>70,409.00</t>
  </si>
  <si>
    <t>34,658.56</t>
  </si>
  <si>
    <t>44,905.00</t>
  </si>
  <si>
    <t>37,576.51</t>
  </si>
  <si>
    <t>48,686.00</t>
  </si>
  <si>
    <t>Себестоимость</t>
  </si>
  <si>
    <t>Цена (продажная)</t>
  </si>
  <si>
    <t>SE1001</t>
  </si>
  <si>
    <t>Наценка %</t>
  </si>
  <si>
    <t>46,264.64</t>
  </si>
  <si>
    <t>59,943.00</t>
  </si>
  <si>
    <t>52,755.15</t>
  </si>
  <si>
    <t>68,352.00</t>
  </si>
  <si>
    <t>60,549.09</t>
  </si>
  <si>
    <t>78,451.00</t>
  </si>
  <si>
    <t>42,290.59</t>
  </si>
  <si>
    <t>54,794.00</t>
  </si>
  <si>
    <t>49,356.91</t>
  </si>
  <si>
    <t>63,949.00</t>
  </si>
  <si>
    <t>53,652.58</t>
  </si>
  <si>
    <t>69,515.00</t>
  </si>
  <si>
    <t>63,197.68</t>
  </si>
  <si>
    <t>81,882.00</t>
  </si>
  <si>
    <t>13,398.64</t>
  </si>
  <si>
    <t>16,570.00</t>
  </si>
  <si>
    <t>12,987.07</t>
  </si>
  <si>
    <t>17,037.00</t>
  </si>
  <si>
    <t>15,708.18</t>
  </si>
  <si>
    <t>19,426.00</t>
  </si>
  <si>
    <t>19,622.89</t>
  </si>
  <si>
    <t>24,267.00</t>
  </si>
  <si>
    <t>20,635.16</t>
  </si>
  <si>
    <t>25,519.00</t>
  </si>
  <si>
    <t>19,682.19</t>
  </si>
  <si>
    <t>24,341.00</t>
  </si>
  <si>
    <t>29,267.54</t>
  </si>
  <si>
    <t>36,195.00</t>
  </si>
  <si>
    <t>55,376.15</t>
  </si>
  <si>
    <t>68,483.00</t>
  </si>
  <si>
    <t>DKS</t>
  </si>
  <si>
    <t xml:space="preserve"> </t>
  </si>
  <si>
    <t>Цена ЭТМ со Скидкой</t>
  </si>
  <si>
    <t>Цена ЭТМ розница</t>
  </si>
  <si>
    <t>Площадь поверхности</t>
  </si>
  <si>
    <t>Стоимость м2</t>
  </si>
  <si>
    <t>вычисленная стоимостьм2</t>
  </si>
  <si>
    <t>Вычисленная цена сос скидкой</t>
  </si>
  <si>
    <t>Наша цена от провенто</t>
  </si>
  <si>
    <t>цена провенто со скидкой 25%</t>
  </si>
  <si>
    <t>артикул</t>
  </si>
  <si>
    <t>прайсовая цена</t>
  </si>
  <si>
    <t>Наша цена с наценкой от себестоимости</t>
  </si>
  <si>
    <t>себестоимость</t>
  </si>
  <si>
    <t>18 102.04</t>
  </si>
  <si>
    <t>24 038.67</t>
  </si>
  <si>
    <t>24 606.82</t>
  </si>
  <si>
    <t>41 553.59</t>
  </si>
  <si>
    <t>105 454.68</t>
  </si>
  <si>
    <t>Цена в Электрокомплект на 11.07.18</t>
  </si>
  <si>
    <t>18,675.65</t>
  </si>
  <si>
    <t>23,096.00</t>
  </si>
  <si>
    <t>24,800.61</t>
  </si>
  <si>
    <t>30,670.00</t>
  </si>
  <si>
    <t>25,387.11</t>
  </si>
  <si>
    <t>31,396.00</t>
  </si>
  <si>
    <t>42,871.18</t>
  </si>
  <si>
    <t>53,018.00</t>
  </si>
  <si>
    <t>108,799.21</t>
  </si>
  <si>
    <t>134,550.00</t>
  </si>
  <si>
    <t>R5CEB03312</t>
  </si>
  <si>
    <t>Навесной шкаф CE из нержавеющей стали (AISI 316), 300 x 300x 150мм, без фланца</t>
  </si>
  <si>
    <t>R5CEB03412</t>
  </si>
  <si>
    <t>Навесной шкаф CE из нержавеющей стали (AISI 316), 300 x 400x 150мм, без фланца</t>
  </si>
  <si>
    <t>R5CEB03912</t>
  </si>
  <si>
    <t>Навесной шкаф CE из нержавеющей стали (AISI 316), 300 x 250x 150мм, без фланца</t>
  </si>
  <si>
    <t>R5CEB04312</t>
  </si>
  <si>
    <t>Навесной шкаф CE из нержавеющей стали (AISI 316), 400 x 300x 150мм, без фланца</t>
  </si>
  <si>
    <t>R5CEB04322</t>
  </si>
  <si>
    <t>Навесной шкаф CE из нержавеющей стали (AISI 316), 400 x 300x 200мм, без фланца</t>
  </si>
  <si>
    <t>R5CEB04422</t>
  </si>
  <si>
    <t>Навесной шкаф CE из нержавеющей стали (AISI 316), 400 x 400x 200мм, без фланца</t>
  </si>
  <si>
    <t>R5CEB04622</t>
  </si>
  <si>
    <t>Навесной шкаф CE из нержавеющей стали (AISI 316), 400 x 600x 200мм, без фланца</t>
  </si>
  <si>
    <t>R5CEB05312</t>
  </si>
  <si>
    <t>Навесной шкаф CE из нержавеющей стали (AISI 316), 500 x 300x 150мм, без фланца</t>
  </si>
  <si>
    <t>R5CEB05322</t>
  </si>
  <si>
    <t>Навесной шкаф CE из нержавеющей стали (AISI 316), 500 x 300x 200мм, без фланца</t>
  </si>
  <si>
    <t>R5CEB05422</t>
  </si>
  <si>
    <t>Навесной шкаф CE из нержавеющей стали (AISI 316), 500 x 400x 200мм, без фланца</t>
  </si>
  <si>
    <t>R5CEB05492</t>
  </si>
  <si>
    <t>Навесной шкаф CE из нержавеющей стали (AISI 316), 500 x 400x 250мм, без фланца</t>
  </si>
  <si>
    <t>R5CEB05522</t>
  </si>
  <si>
    <t>Навесной шкаф CE из нержавеющей стали (AISI 316), 500 x 500x 200мм, без фланца</t>
  </si>
  <si>
    <t>R5CEB06422</t>
  </si>
  <si>
    <t>Навесной шкаф CE из нержавеющей стали (AISI 316), 600 x 400x 200мм, без фланца</t>
  </si>
  <si>
    <t>R5CEB06442</t>
  </si>
  <si>
    <t>Навесной шкаф CE из нержавеющей стали (AISI 316), 600 x 400x 400мм, без фланца</t>
  </si>
  <si>
    <t>R5CEB06492</t>
  </si>
  <si>
    <t>Навесной шкаф CE из нержавеющей стали (AISI 316), 600 x 400x 250мм, без фланца</t>
  </si>
  <si>
    <t>R5CEB06642</t>
  </si>
  <si>
    <t>Навесной шкаф CE из нержавеющей стали (AISI 316), 600 x 600x 400мм, без фланца</t>
  </si>
  <si>
    <t>R5CEB06692</t>
  </si>
  <si>
    <t>Навесной шкаф CE из нержавеющей стали (AISI 316), 600 x 600x 250мм, без фланца</t>
  </si>
  <si>
    <t>R5CEB07522</t>
  </si>
  <si>
    <t>Навесной шкаф CE из нержавеющей стали (AISI 316), 700 x 500x 200мм, без фланца</t>
  </si>
  <si>
    <t>R5CEB07592</t>
  </si>
  <si>
    <t>Навесной шкаф CE из нержавеющей стали (AISI 316), 700 x 500x 250мм, без фланца</t>
  </si>
  <si>
    <t>R5CEB08632</t>
  </si>
  <si>
    <t>Навесной шкаф CE из нержавеющей стали (AISI 316), 800 x 600x 300мм, без фланца</t>
  </si>
  <si>
    <t>R5CEB08642</t>
  </si>
  <si>
    <t>Навесной шкаф CE из нержавеющей стали (AISI 316), 800 x 600x 400мм, без фланца</t>
  </si>
  <si>
    <t>R5CEB08692</t>
  </si>
  <si>
    <t>Навесной шкаф CE из нержавеющей стали (AISI 316), 800 x 600x 250мм, без фланца</t>
  </si>
  <si>
    <t>R5CEB08832</t>
  </si>
  <si>
    <t>Навесной шкаф CE из нержавеющей стали (AISI 316), 800 x 800x 300мм, без фланца</t>
  </si>
  <si>
    <t>R5CEB08842</t>
  </si>
  <si>
    <t>Навесной шкаф CE из нержавеющей стали (AISI 316), 800 x 800x 400мм, без фланца</t>
  </si>
  <si>
    <t>R5CEB10632</t>
  </si>
  <si>
    <t>Навесной шкаф CE из нержавеющей стали (AISI 316), 1000 x 600 x 300мм, без фланца</t>
  </si>
  <si>
    <t>R5CEB10642</t>
  </si>
  <si>
    <t>Навесной шкаф CE из нержавеющей стали (AISI 316), 1000 x 600 x 400мм, без фланца</t>
  </si>
  <si>
    <t>R5CEB10692</t>
  </si>
  <si>
    <t>Навесной шкаф CE из нержавеющей стали (AISI 316), 1000 x 600 x 250мм, без фланца</t>
  </si>
  <si>
    <t>R5CEB10832</t>
  </si>
  <si>
    <t>Навесной шкаф CE из нержавеющей стали (AISI 316), 1000 x 800 x 300мм, без фланца</t>
  </si>
  <si>
    <t>R5CEB10842</t>
  </si>
  <si>
    <t>Навесной шкаф CE из нержавеющей стали (AISI 316), 1000 x 800 x 400мм, без фланца</t>
  </si>
  <si>
    <t>R5CEB12632</t>
  </si>
  <si>
    <t>Навесной шкаф CE из нержавеющей стали (AISI 316), 1200 x 600 x 300мм, без фланца</t>
  </si>
  <si>
    <t>R5CEB12832</t>
  </si>
  <si>
    <t>Навесной шкаф CE из нержавеющей стали (AISI 316), 1200 x 800 x 300мм, без фланца</t>
  </si>
  <si>
    <t>R5CEB14632</t>
  </si>
  <si>
    <t>Навесной шкаф CE из нержавеющей стали (AISI 316), 1400 x 600 x 300мм, без фланца</t>
  </si>
  <si>
    <t>R5CEB14832</t>
  </si>
  <si>
    <t>Навесной шкаф CE из нержавеющей стали (AISI 316), 1400 x 800 x 300мм, без фланца</t>
  </si>
  <si>
    <t>14,443.09</t>
  </si>
  <si>
    <t>18,713.00</t>
  </si>
  <si>
    <t>15,179.39</t>
  </si>
  <si>
    <t>19,667.00</t>
  </si>
  <si>
    <t>18,327.64</t>
  </si>
  <si>
    <t>23,746.00</t>
  </si>
  <si>
    <t>Прайсовая цена</t>
  </si>
  <si>
    <t>цена со скидкой 5% от DKC (ST)-24 столб</t>
  </si>
  <si>
    <t>SE1101.0231.1035</t>
  </si>
  <si>
    <t>SE1102.0391.1035</t>
  </si>
  <si>
    <t>SE1103.0331.1036</t>
  </si>
  <si>
    <t>SE1104.0341.1030</t>
  </si>
  <si>
    <t>SE1105.0342.1031</t>
  </si>
  <si>
    <t>SE1106.0431.1034</t>
  </si>
  <si>
    <t>SE1107.0432.1034</t>
  </si>
  <si>
    <t>SE1108.0442.1380</t>
  </si>
  <si>
    <t>SE1109.0462.1039</t>
  </si>
  <si>
    <t>SE1110.0531.1045</t>
  </si>
  <si>
    <t>SE1111.0532.1045</t>
  </si>
  <si>
    <t>SE1112.0542.1045</t>
  </si>
  <si>
    <t>SE1113.0552.1050</t>
  </si>
  <si>
    <t>SE1114.0562.1050</t>
  </si>
  <si>
    <t>SE1115.0549.1045</t>
  </si>
  <si>
    <t>SE1116.0553.1350</t>
  </si>
  <si>
    <t>SE1117.0563.1350</t>
  </si>
  <si>
    <t>SE1118.0642.1038</t>
  </si>
  <si>
    <t>SE1119.0652.1060</t>
  </si>
  <si>
    <t>SE1120.0649.1038</t>
  </si>
  <si>
    <t>SE1121.0669.1054</t>
  </si>
  <si>
    <t>SE1122.0644.1037</t>
  </si>
  <si>
    <t>SE1123.0664.1360</t>
  </si>
  <si>
    <t>SE1124.0752.1057</t>
  </si>
  <si>
    <t>SE1125.0759.1057</t>
  </si>
  <si>
    <t>SE1126.0862.1058</t>
  </si>
  <si>
    <t>SE1127.0882.1077</t>
  </si>
  <si>
    <t>SE1128.0869.1058</t>
  </si>
  <si>
    <t>SE1129.0863.1076</t>
  </si>
  <si>
    <t>SE1130.0883.1073</t>
  </si>
  <si>
    <t>SE1131.0864.1076</t>
  </si>
  <si>
    <t>SE1132.0884.1073</t>
  </si>
  <si>
    <t>SE1133.1069.1090</t>
  </si>
  <si>
    <t>SE1134.1063.1090</t>
  </si>
  <si>
    <t>SE1135.1083.1180</t>
  </si>
  <si>
    <t>SE1136.1064.1090</t>
  </si>
  <si>
    <t>SE1137.1084.1180</t>
  </si>
  <si>
    <t>SE1138.1262.1260</t>
  </si>
  <si>
    <t>SE1139.1263.1260</t>
  </si>
  <si>
    <t>SE1140.1283.1280</t>
  </si>
  <si>
    <t>SE1141.1264.1260</t>
  </si>
  <si>
    <t>SE1142.1284.1280</t>
  </si>
  <si>
    <t>SE1143.1463.1280</t>
  </si>
  <si>
    <t>SE1144.1483.1280</t>
  </si>
  <si>
    <t>Прайсовая цена SE1000</t>
  </si>
  <si>
    <t>Прайсовая цена SE1100</t>
  </si>
  <si>
    <t>SF1001.0231.1035</t>
  </si>
  <si>
    <t>SF1002.0391.1035</t>
  </si>
  <si>
    <t>SF1003.0331.1036</t>
  </si>
  <si>
    <t>SF1004.0341.1030</t>
  </si>
  <si>
    <t>SF1005.0342.1031</t>
  </si>
  <si>
    <t>SF1006.0431.1034</t>
  </si>
  <si>
    <t>SF1007.0432.1034</t>
  </si>
  <si>
    <t>SF1008.0442.1380</t>
  </si>
  <si>
    <t>SF1009.0462.1039</t>
  </si>
  <si>
    <t>SF1010.0531.1045</t>
  </si>
  <si>
    <t>SF1011.0532.1045</t>
  </si>
  <si>
    <t>SF1012.0542.1045</t>
  </si>
  <si>
    <t>SF1013.0552.1050</t>
  </si>
  <si>
    <t>SF1014.0562.1050</t>
  </si>
  <si>
    <t>SF1015.0549.1045</t>
  </si>
  <si>
    <t>SF1016.0553.1350</t>
  </si>
  <si>
    <t>SF1017.0563.1350</t>
  </si>
  <si>
    <t>SF1018.0642.1038</t>
  </si>
  <si>
    <t>SF1019.0652.1060</t>
  </si>
  <si>
    <t>SF1020.0649.1038</t>
  </si>
  <si>
    <t>SF1021.0669.1054</t>
  </si>
  <si>
    <t>SF1022.0644.1037</t>
  </si>
  <si>
    <t>SF1023.0664.1360</t>
  </si>
  <si>
    <t>SF1024.0752.1057</t>
  </si>
  <si>
    <t>SF1025.0759.1057</t>
  </si>
  <si>
    <t>SF1026.0862.1058</t>
  </si>
  <si>
    <t>SF1027.0882.1077</t>
  </si>
  <si>
    <t>SF1028.0869.1058</t>
  </si>
  <si>
    <t>SF1029.0863.1076</t>
  </si>
  <si>
    <t>SF1030.0883.1073</t>
  </si>
  <si>
    <t>SF1031.0864.1076</t>
  </si>
  <si>
    <t>SF1032.0884.1073</t>
  </si>
  <si>
    <t>SF1033.1069.1090</t>
  </si>
  <si>
    <t>SF1034.1063.1090</t>
  </si>
  <si>
    <t>SF1035.1083.1180</t>
  </si>
  <si>
    <t>SF1036.1064.1090</t>
  </si>
  <si>
    <t>SF1037.1084.1180</t>
  </si>
  <si>
    <t>SF1038.1262.1260</t>
  </si>
  <si>
    <t>SF1039.1263.1260</t>
  </si>
  <si>
    <t>SF1040.1283.1280</t>
  </si>
  <si>
    <t>SF1041.1264.1260</t>
  </si>
  <si>
    <t>SF1042.1284.1280</t>
  </si>
  <si>
    <t>SF1043.1463.1280</t>
  </si>
  <si>
    <t>SF1044.1483.1280</t>
  </si>
  <si>
    <t>площадь</t>
  </si>
  <si>
    <t>цена на SE1000</t>
  </si>
  <si>
    <t>Прайсовая цена на SF1000</t>
  </si>
  <si>
    <t>Цена со скидкой SF100</t>
  </si>
  <si>
    <t>SF1101.0231.1035</t>
  </si>
  <si>
    <t>SF1102.0391.1035</t>
  </si>
  <si>
    <t>SF1103.0331.1036</t>
  </si>
  <si>
    <t>SF1104.0341.1030</t>
  </si>
  <si>
    <t>SF1105.0342.1031</t>
  </si>
  <si>
    <t>SF1106.0431.1034</t>
  </si>
  <si>
    <t>SF1107.0432.1034</t>
  </si>
  <si>
    <t>SF1108.0442.1380</t>
  </si>
  <si>
    <t>SF1109.0462.1039</t>
  </si>
  <si>
    <t>SF1110.0531.1045</t>
  </si>
  <si>
    <t>SF1111.0532.1045</t>
  </si>
  <si>
    <t>SF1112.0542.1045</t>
  </si>
  <si>
    <t>SF1113.0552.1050</t>
  </si>
  <si>
    <t>SF1114.0562.1050</t>
  </si>
  <si>
    <t>SF1115.0549.1045</t>
  </si>
  <si>
    <t>SF1116.0553.1350</t>
  </si>
  <si>
    <t>SF1117.0563.1350</t>
  </si>
  <si>
    <t>SF1118.0642.1038</t>
  </si>
  <si>
    <t>SF1119.0652.1060</t>
  </si>
  <si>
    <t>SF1120.0649.1038</t>
  </si>
  <si>
    <t>SF1121.0669.1054</t>
  </si>
  <si>
    <t>SF1122.0644.1037</t>
  </si>
  <si>
    <t>SF1123.0664.1360</t>
  </si>
  <si>
    <t>SF1124.0752.1057</t>
  </si>
  <si>
    <t>SF1125.0759.1057</t>
  </si>
  <si>
    <t>SF1126.0862.1058</t>
  </si>
  <si>
    <t>SF1127.0882.1077</t>
  </si>
  <si>
    <t>SF1128.0869.1058</t>
  </si>
  <si>
    <t>SF1129.0863.1076</t>
  </si>
  <si>
    <t>SF1130.0883.1073</t>
  </si>
  <si>
    <t>SF1131.0864.1076</t>
  </si>
  <si>
    <t>SF1132.0884.1073</t>
  </si>
  <si>
    <t>SF1133.1069.1090</t>
  </si>
  <si>
    <t>SF1134.1063.1090</t>
  </si>
  <si>
    <t>SF1135.1083.1180</t>
  </si>
  <si>
    <t>SF1136.1064.1090</t>
  </si>
  <si>
    <t>SF1137.1084.1180</t>
  </si>
  <si>
    <t>SF1138.1262.1260</t>
  </si>
  <si>
    <t>SF1139.1263.1260</t>
  </si>
  <si>
    <t>SF1140.1283.1280</t>
  </si>
  <si>
    <t>SF1141.1264.1260</t>
  </si>
  <si>
    <t>SF1142.1284.1280</t>
  </si>
  <si>
    <t>SF1143.1463.1280</t>
  </si>
  <si>
    <t>SF1144.1483.1280</t>
  </si>
  <si>
    <t>SЕ2101</t>
  </si>
  <si>
    <t>SE2102</t>
  </si>
  <si>
    <t>SE2103</t>
  </si>
  <si>
    <t>SE2104</t>
  </si>
  <si>
    <t>SE2105</t>
  </si>
  <si>
    <t>SE2106</t>
  </si>
  <si>
    <t>SE2107</t>
  </si>
  <si>
    <t>SE2108</t>
  </si>
  <si>
    <t>SE2109</t>
  </si>
  <si>
    <t>SE2110</t>
  </si>
  <si>
    <t>SE2111</t>
  </si>
  <si>
    <t>SE2112</t>
  </si>
  <si>
    <t>SE2113</t>
  </si>
  <si>
    <t>SE2114</t>
  </si>
  <si>
    <t>SE2115</t>
  </si>
  <si>
    <t>SE2116</t>
  </si>
  <si>
    <t>SE2117</t>
  </si>
  <si>
    <t>SE2118</t>
  </si>
  <si>
    <t>SE2119</t>
  </si>
  <si>
    <t>SE2120</t>
  </si>
  <si>
    <t>SE2121</t>
  </si>
  <si>
    <t>SE2122</t>
  </si>
  <si>
    <t>SE2123</t>
  </si>
  <si>
    <t>SE2124</t>
  </si>
  <si>
    <t>SE2125</t>
  </si>
  <si>
    <t>SE2126</t>
  </si>
  <si>
    <t>SE2127</t>
  </si>
  <si>
    <t>SE2128</t>
  </si>
  <si>
    <t>SE2129</t>
  </si>
  <si>
    <t>SE2130</t>
  </si>
  <si>
    <t>SE2131</t>
  </si>
  <si>
    <t>SE2132</t>
  </si>
  <si>
    <t>SE2133</t>
  </si>
  <si>
    <t>SE2134</t>
  </si>
  <si>
    <t>SE2135</t>
  </si>
  <si>
    <t>SE2136</t>
  </si>
  <si>
    <t>SE2137</t>
  </si>
  <si>
    <t>SE2138</t>
  </si>
  <si>
    <t>SE2139</t>
  </si>
  <si>
    <t>SE2140</t>
  </si>
  <si>
    <t>SE2141</t>
  </si>
  <si>
    <t>SE2142</t>
  </si>
  <si>
    <t>SE2143</t>
  </si>
  <si>
    <t>SE2144</t>
  </si>
  <si>
    <t>ДКС</t>
  </si>
  <si>
    <t>стоимость м2</t>
  </si>
  <si>
    <t>Вычисленная цена</t>
  </si>
  <si>
    <t>Расчитанная стоимость м2</t>
  </si>
  <si>
    <t>цена со скидкой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</si>
</sst>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.00_р_._-;\-* #,##0.00_р_._-;_-* &quot;-&quot;??_р_._-;_-@_-"/>
    <numFmt numFmtId="165" formatCode="#,##0.00&quot;р.&quot;"/>
    <numFmt numFmtId="166" formatCode="#,##0.00\ &quot;₽&quot;"/>
    <numFmt numFmtId="167" formatCode="#,##0\ &quot;₽&quot;"/>
  </numFmts>
  <fonts count="29">
    <font>
      <sz val="11"/>
      <color theme="1"/>
      <name val="Calibri"/>
      <family val="2"/>
      <scheme val="minor"/>
    </font>
    <font>
      <sz val="8"/>
      <color rgb="FF24202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indexed="9"/>
      <name val="Arial"/>
      <family val="2"/>
      <charset val="204"/>
    </font>
    <font>
      <sz val="9"/>
      <name val="Arial"/>
      <family val="2"/>
      <charset val="204"/>
    </font>
    <font>
      <sz val="11"/>
      <color indexed="8"/>
      <name val="Calibri"/>
      <family val="2"/>
      <charset val="204"/>
    </font>
    <font>
      <sz val="8"/>
      <color rgb="FF242021"/>
      <name val="MyriadPro-Regular-SC700"/>
    </font>
    <font>
      <b/>
      <sz val="10"/>
      <color rgb="FFFFFFFF"/>
      <name val="Calibri"/>
      <family val="2"/>
      <charset val="204"/>
      <scheme val="minor"/>
    </font>
    <font>
      <b/>
      <sz val="9"/>
      <color rgb="FFFFFFFF"/>
      <name val="MyriadPro-Bold"/>
    </font>
    <font>
      <sz val="9"/>
      <color rgb="FF242021"/>
      <name val="MyriadPro-Regula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color theme="1"/>
      <name val="Calibri"/>
      <family val="2"/>
      <scheme val="minor"/>
    </font>
    <font>
      <sz val="10"/>
      <name val="Arial Cyr"/>
      <charset val="204"/>
    </font>
    <font>
      <sz val="9"/>
      <name val="Arial Cyr"/>
      <charset val="204"/>
    </font>
    <font>
      <sz val="8"/>
      <name val="Arial Cyr"/>
      <charset val="204"/>
    </font>
    <font>
      <sz val="9"/>
      <color rgb="FF363636"/>
      <name val="Tahoma"/>
      <family val="2"/>
      <charset val="204"/>
    </font>
    <font>
      <sz val="9"/>
      <color rgb="FF005999"/>
      <name val="Tahoma"/>
      <family val="2"/>
      <charset val="204"/>
    </font>
    <font>
      <sz val="9"/>
      <color rgb="FF333333"/>
      <name val="Tahoma"/>
      <family val="2"/>
      <charset val="204"/>
    </font>
    <font>
      <sz val="9"/>
      <color rgb="FFC77405"/>
      <name val="Tahoma"/>
      <family val="2"/>
      <charset val="204"/>
    </font>
    <font>
      <sz val="9"/>
      <color rgb="FFA52A2A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9"/>
      <color rgb="FF4B4C4D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45C"/>
        <bgColor indexed="64"/>
      </patternFill>
    </fill>
    <fill>
      <patternFill patternType="solid">
        <fgColor rgb="FFFDF5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D9DACC"/>
      </left>
      <right/>
      <top style="medium">
        <color rgb="FFD9DA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ED22F"/>
      </left>
      <right style="medium">
        <color indexed="64"/>
      </right>
      <top style="medium">
        <color rgb="FFFED22F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ED22F"/>
      </left>
      <right style="medium">
        <color indexed="64"/>
      </right>
      <top style="medium">
        <color rgb="FFFED22F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ED22F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FED22F"/>
      </top>
      <bottom style="medium">
        <color rgb="FF000000"/>
      </bottom>
      <diagonal/>
    </border>
    <border>
      <left/>
      <right style="medium">
        <color indexed="64"/>
      </right>
      <top style="medium">
        <color rgb="FFD9DA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FED22F"/>
      </top>
      <bottom/>
      <diagonal/>
    </border>
    <border>
      <left style="medium">
        <color rgb="FFFED22F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ED22F"/>
      </left>
      <right/>
      <top style="medium">
        <color rgb="FFFED22F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>
      <alignment horizontal="left"/>
    </xf>
    <xf numFmtId="164" fontId="5" fillId="0" borderId="0" applyFont="0" applyFill="0" applyBorder="0" applyAlignment="0" applyProtection="0"/>
    <xf numFmtId="0" fontId="10" fillId="0" borderId="0"/>
    <xf numFmtId="0" fontId="13" fillId="0" borderId="0"/>
    <xf numFmtId="0" fontId="28" fillId="10" borderId="0" applyNumberFormat="0" applyBorder="0" applyAlignment="0" applyProtection="0"/>
  </cellStyleXfs>
  <cellXfs count="23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NumberFormat="1" applyFont="1" applyBorder="1" applyAlignment="1">
      <alignment horizontal="left" vertical="top" wrapText="1"/>
    </xf>
    <xf numFmtId="4" fontId="0" fillId="0" borderId="2" xfId="0" applyNumberFormat="1" applyFont="1" applyBorder="1" applyAlignment="1">
      <alignment horizontal="right" vertical="top"/>
    </xf>
    <xf numFmtId="0" fontId="2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vertical="center" wrapText="1"/>
    </xf>
    <xf numFmtId="165" fontId="4" fillId="0" borderId="3" xfId="1" applyNumberFormat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vertical="top" wrapText="1"/>
    </xf>
    <xf numFmtId="0" fontId="3" fillId="2" borderId="6" xfId="1" applyFont="1" applyFill="1" applyBorder="1" applyAlignment="1">
      <alignment vertical="top" wrapText="1"/>
    </xf>
    <xf numFmtId="0" fontId="2" fillId="0" borderId="5" xfId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Font="1" applyBorder="1" applyAlignment="1">
      <alignment horizontal="left" vertical="top" wrapText="1"/>
    </xf>
    <xf numFmtId="4" fontId="0" fillId="0" borderId="1" xfId="0" applyNumberFormat="1" applyFont="1" applyBorder="1" applyAlignment="1">
      <alignment horizontal="right" vertical="top"/>
    </xf>
    <xf numFmtId="0" fontId="4" fillId="0" borderId="1" xfId="1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/>
    </xf>
    <xf numFmtId="0" fontId="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165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0" xfId="0" applyNumberFormat="1" applyFont="1" applyBorder="1" applyAlignment="1">
      <alignment horizontal="left" vertical="top" wrapText="1"/>
    </xf>
    <xf numFmtId="4" fontId="0" fillId="0" borderId="11" xfId="0" applyNumberFormat="1" applyFont="1" applyBorder="1" applyAlignment="1">
      <alignment horizontal="right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10" xfId="0" applyFont="1" applyFill="1" applyBorder="1" applyAlignment="1">
      <alignment vertical="center" wrapText="1"/>
    </xf>
    <xf numFmtId="165" fontId="4" fillId="0" borderId="11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NumberFormat="1" applyFont="1" applyBorder="1" applyAlignment="1">
      <alignment horizontal="left" vertical="top" wrapText="1"/>
    </xf>
    <xf numFmtId="4" fontId="0" fillId="0" borderId="0" xfId="0" applyNumberFormat="1" applyFont="1" applyBorder="1" applyAlignment="1">
      <alignment horizontal="right" vertical="top"/>
    </xf>
    <xf numFmtId="0" fontId="2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4" fillId="0" borderId="18" xfId="1" applyFont="1" applyBorder="1" applyAlignment="1">
      <alignment vertical="center" wrapText="1"/>
    </xf>
    <xf numFmtId="165" fontId="4" fillId="0" borderId="18" xfId="1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2" xfId="0" applyNumberFormat="1" applyFont="1" applyBorder="1" applyAlignment="1">
      <alignment horizontal="left" vertical="top" wrapText="1"/>
    </xf>
    <xf numFmtId="4" fontId="0" fillId="0" borderId="13" xfId="0" applyNumberFormat="1" applyFont="1" applyBorder="1" applyAlignment="1">
      <alignment horizontal="right" vertical="top"/>
    </xf>
    <xf numFmtId="0" fontId="2" fillId="0" borderId="10" xfId="1" applyFont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17" xfId="1" applyFont="1" applyBorder="1" applyAlignment="1">
      <alignment vertical="center" wrapText="1"/>
    </xf>
    <xf numFmtId="0" fontId="0" fillId="0" borderId="22" xfId="0" applyNumberFormat="1" applyFont="1" applyBorder="1" applyAlignment="1">
      <alignment horizontal="left" vertical="top" wrapText="1"/>
    </xf>
    <xf numFmtId="4" fontId="0" fillId="0" borderId="22" xfId="0" applyNumberFormat="1" applyFont="1" applyBorder="1" applyAlignment="1">
      <alignment horizontal="right" vertical="top"/>
    </xf>
    <xf numFmtId="0" fontId="0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165" fontId="4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0" fillId="0" borderId="17" xfId="0" applyBorder="1"/>
    <xf numFmtId="0" fontId="6" fillId="0" borderId="0" xfId="0" applyFont="1" applyBorder="1" applyAlignment="1">
      <alignment vertical="center" wrapText="1"/>
    </xf>
    <xf numFmtId="0" fontId="0" fillId="0" borderId="23" xfId="0" applyBorder="1"/>
    <xf numFmtId="0" fontId="9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1" fontId="11" fillId="0" borderId="0" xfId="3" applyNumberFormat="1" applyFont="1" applyFill="1" applyAlignment="1">
      <alignment horizontal="left"/>
    </xf>
    <xf numFmtId="0" fontId="10" fillId="0" borderId="0" xfId="3" applyNumberFormat="1" applyFont="1" applyFill="1" applyAlignment="1">
      <alignment horizontal="left"/>
    </xf>
    <xf numFmtId="2" fontId="10" fillId="0" borderId="0" xfId="3" applyNumberFormat="1" applyFont="1" applyFill="1" applyAlignment="1">
      <alignment horizontal="center"/>
    </xf>
    <xf numFmtId="0" fontId="0" fillId="0" borderId="24" xfId="0" applyBorder="1"/>
    <xf numFmtId="165" fontId="4" fillId="0" borderId="24" xfId="1" applyNumberFormat="1" applyFont="1" applyBorder="1" applyAlignment="1">
      <alignment horizontal="center" vertical="center" wrapText="1"/>
    </xf>
    <xf numFmtId="165" fontId="4" fillId="0" borderId="25" xfId="1" applyNumberFormat="1" applyFont="1" applyBorder="1" applyAlignment="1">
      <alignment horizontal="center" vertical="center" wrapText="1"/>
    </xf>
    <xf numFmtId="2" fontId="10" fillId="0" borderId="1" xfId="3" applyNumberFormat="1" applyFont="1" applyFill="1" applyBorder="1" applyAlignment="1">
      <alignment horizontal="center"/>
    </xf>
    <xf numFmtId="0" fontId="12" fillId="0" borderId="1" xfId="0" applyFont="1" applyBorder="1"/>
    <xf numFmtId="0" fontId="2" fillId="0" borderId="1" xfId="3" applyNumberFormat="1" applyFont="1" applyFill="1" applyBorder="1" applyAlignment="1">
      <alignment horizontal="left"/>
    </xf>
    <xf numFmtId="0" fontId="12" fillId="0" borderId="17" xfId="0" applyFont="1" applyBorder="1"/>
    <xf numFmtId="0" fontId="2" fillId="0" borderId="0" xfId="3" applyNumberFormat="1" applyFont="1" applyFill="1" applyAlignment="1">
      <alignment horizontal="left"/>
    </xf>
    <xf numFmtId="0" fontId="12" fillId="0" borderId="0" xfId="0" applyFont="1"/>
    <xf numFmtId="0" fontId="14" fillId="3" borderId="1" xfId="4" applyNumberFormat="1" applyFont="1" applyFill="1" applyBorder="1" applyAlignment="1" applyProtection="1">
      <alignment horizontal="left" vertical="center"/>
    </xf>
    <xf numFmtId="0" fontId="14" fillId="3" borderId="10" xfId="4" applyNumberFormat="1" applyFont="1" applyFill="1" applyBorder="1" applyAlignment="1" applyProtection="1">
      <alignment horizontal="left" vertical="center"/>
    </xf>
    <xf numFmtId="0" fontId="14" fillId="3" borderId="12" xfId="4" applyNumberFormat="1" applyFont="1" applyFill="1" applyBorder="1" applyAlignment="1" applyProtection="1">
      <alignment horizontal="left" vertical="center"/>
    </xf>
    <xf numFmtId="0" fontId="14" fillId="3" borderId="17" xfId="4" applyNumberFormat="1" applyFont="1" applyFill="1" applyBorder="1" applyAlignment="1" applyProtection="1">
      <alignment horizontal="left" vertical="center"/>
    </xf>
    <xf numFmtId="0" fontId="15" fillId="3" borderId="1" xfId="4" applyNumberFormat="1" applyFont="1" applyFill="1" applyBorder="1" applyAlignment="1" applyProtection="1">
      <alignment horizontal="left" vertical="center"/>
    </xf>
    <xf numFmtId="4" fontId="14" fillId="3" borderId="24" xfId="4" applyNumberFormat="1" applyFont="1" applyFill="1" applyBorder="1" applyAlignment="1" applyProtection="1">
      <alignment horizontal="right" vertical="center"/>
    </xf>
    <xf numFmtId="4" fontId="14" fillId="3" borderId="25" xfId="4" applyNumberFormat="1" applyFont="1" applyFill="1" applyBorder="1" applyAlignment="1" applyProtection="1">
      <alignment horizontal="right" vertical="center"/>
    </xf>
    <xf numFmtId="0" fontId="15" fillId="3" borderId="17" xfId="4" applyNumberFormat="1" applyFont="1" applyFill="1" applyBorder="1" applyAlignment="1" applyProtection="1">
      <alignment horizontal="left" vertical="center"/>
    </xf>
    <xf numFmtId="0" fontId="18" fillId="4" borderId="27" xfId="0" applyFont="1" applyFill="1" applyBorder="1" applyAlignment="1">
      <alignment horizontal="right" vertical="center" wrapText="1"/>
    </xf>
    <xf numFmtId="0" fontId="17" fillId="4" borderId="27" xfId="0" applyFont="1" applyFill="1" applyBorder="1" applyAlignment="1">
      <alignment horizontal="right" vertical="center" wrapText="1"/>
    </xf>
    <xf numFmtId="2" fontId="0" fillId="0" borderId="0" xfId="0" applyNumberFormat="1"/>
    <xf numFmtId="44" fontId="0" fillId="0" borderId="0" xfId="0" applyNumberFormat="1"/>
    <xf numFmtId="0" fontId="0" fillId="0" borderId="28" xfId="0" applyBorder="1"/>
    <xf numFmtId="0" fontId="0" fillId="0" borderId="30" xfId="0" applyBorder="1" applyAlignment="1">
      <alignment wrapText="1"/>
    </xf>
    <xf numFmtId="0" fontId="0" fillId="0" borderId="37" xfId="0" applyBorder="1" applyAlignment="1">
      <alignment wrapText="1"/>
    </xf>
    <xf numFmtId="0" fontId="17" fillId="5" borderId="1" xfId="0" applyFont="1" applyFill="1" applyBorder="1" applyAlignment="1">
      <alignment horizontal="right" vertical="center" wrapText="1"/>
    </xf>
    <xf numFmtId="2" fontId="16" fillId="5" borderId="1" xfId="0" applyNumberFormat="1" applyFont="1" applyFill="1" applyBorder="1" applyAlignment="1">
      <alignment horizontal="right" vertical="center" wrapText="1"/>
    </xf>
    <xf numFmtId="2" fontId="17" fillId="5" borderId="1" xfId="0" applyNumberFormat="1" applyFont="1" applyFill="1" applyBorder="1" applyAlignment="1">
      <alignment horizontal="right" vertical="center" wrapText="1"/>
    </xf>
    <xf numFmtId="2" fontId="18" fillId="4" borderId="1" xfId="0" applyNumberFormat="1" applyFont="1" applyFill="1" applyBorder="1" applyAlignment="1">
      <alignment horizontal="right" vertical="center" wrapText="1"/>
    </xf>
    <xf numFmtId="2" fontId="17" fillId="4" borderId="1" xfId="0" applyNumberFormat="1" applyFont="1" applyFill="1" applyBorder="1" applyAlignment="1">
      <alignment horizontal="right" vertical="center" wrapText="1"/>
    </xf>
    <xf numFmtId="0" fontId="17" fillId="6" borderId="1" xfId="0" applyFont="1" applyFill="1" applyBorder="1" applyAlignment="1">
      <alignment horizontal="right" vertical="center" wrapText="1"/>
    </xf>
    <xf numFmtId="2" fontId="19" fillId="6" borderId="1" xfId="0" applyNumberFormat="1" applyFont="1" applyFill="1" applyBorder="1" applyAlignment="1">
      <alignment horizontal="right" vertical="center" wrapText="1"/>
    </xf>
    <xf numFmtId="2" fontId="17" fillId="6" borderId="1" xfId="0" applyNumberFormat="1" applyFont="1" applyFill="1" applyBorder="1" applyAlignment="1">
      <alignment horizontal="right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30" xfId="0" applyNumberFormat="1" applyBorder="1" applyAlignment="1">
      <alignment wrapText="1"/>
    </xf>
    <xf numFmtId="44" fontId="0" fillId="0" borderId="11" xfId="0" applyNumberFormat="1" applyBorder="1"/>
    <xf numFmtId="0" fontId="17" fillId="5" borderId="17" xfId="0" applyFont="1" applyFill="1" applyBorder="1" applyAlignment="1">
      <alignment horizontal="right" vertical="center" wrapText="1"/>
    </xf>
    <xf numFmtId="2" fontId="16" fillId="5" borderId="17" xfId="0" applyNumberFormat="1" applyFont="1" applyFill="1" applyBorder="1" applyAlignment="1">
      <alignment horizontal="right" vertical="center" wrapText="1"/>
    </xf>
    <xf numFmtId="2" fontId="17" fillId="5" borderId="17" xfId="0" applyNumberFormat="1" applyFont="1" applyFill="1" applyBorder="1" applyAlignment="1">
      <alignment horizontal="right" vertical="center" wrapText="1"/>
    </xf>
    <xf numFmtId="44" fontId="0" fillId="0" borderId="13" xfId="0" applyNumberFormat="1" applyBorder="1"/>
    <xf numFmtId="2" fontId="17" fillId="5" borderId="38" xfId="0" applyNumberFormat="1" applyFont="1" applyFill="1" applyBorder="1" applyAlignment="1">
      <alignment horizontal="right" vertical="center" wrapText="1"/>
    </xf>
    <xf numFmtId="2" fontId="0" fillId="0" borderId="39" xfId="0" applyNumberFormat="1" applyBorder="1"/>
    <xf numFmtId="2" fontId="17" fillId="5" borderId="40" xfId="0" applyNumberFormat="1" applyFont="1" applyFill="1" applyBorder="1" applyAlignment="1">
      <alignment horizontal="right" vertical="center" wrapText="1"/>
    </xf>
    <xf numFmtId="2" fontId="0" fillId="0" borderId="37" xfId="0" applyNumberFormat="1" applyBorder="1" applyAlignment="1">
      <alignment wrapText="1"/>
    </xf>
    <xf numFmtId="0" fontId="0" fillId="0" borderId="41" xfId="0" applyBorder="1" applyAlignment="1">
      <alignment horizontal="center" vertical="center"/>
    </xf>
    <xf numFmtId="0" fontId="14" fillId="3" borderId="28" xfId="4" applyNumberFormat="1" applyFont="1" applyFill="1" applyBorder="1" applyAlignment="1" applyProtection="1">
      <alignment horizontal="left" vertical="center"/>
    </xf>
    <xf numFmtId="0" fontId="14" fillId="3" borderId="29" xfId="4" applyNumberFormat="1" applyFont="1" applyFill="1" applyBorder="1" applyAlignment="1" applyProtection="1">
      <alignment horizontal="left" vertical="center"/>
    </xf>
    <xf numFmtId="4" fontId="14" fillId="3" borderId="37" xfId="4" applyNumberFormat="1" applyFont="1" applyFill="1" applyBorder="1" applyAlignment="1" applyProtection="1">
      <alignment horizontal="right" vertical="center"/>
    </xf>
    <xf numFmtId="2" fontId="17" fillId="5" borderId="42" xfId="0" applyNumberFormat="1" applyFont="1" applyFill="1" applyBorder="1" applyAlignment="1">
      <alignment horizontal="right" vertical="center" wrapText="1"/>
    </xf>
    <xf numFmtId="0" fontId="0" fillId="0" borderId="29" xfId="0" applyBorder="1" applyAlignment="1">
      <alignment wrapText="1"/>
    </xf>
    <xf numFmtId="2" fontId="0" fillId="0" borderId="29" xfId="0" applyNumberFormat="1" applyBorder="1" applyAlignment="1">
      <alignment wrapText="1"/>
    </xf>
    <xf numFmtId="0" fontId="14" fillId="3" borderId="43" xfId="4" applyNumberFormat="1" applyFont="1" applyFill="1" applyBorder="1" applyAlignment="1" applyProtection="1">
      <alignment horizontal="left" vertical="center"/>
    </xf>
    <xf numFmtId="0" fontId="14" fillId="3" borderId="44" xfId="4" applyNumberFormat="1" applyFont="1" applyFill="1" applyBorder="1" applyAlignment="1" applyProtection="1">
      <alignment horizontal="left" vertical="center"/>
    </xf>
    <xf numFmtId="2" fontId="16" fillId="5" borderId="45" xfId="0" applyNumberFormat="1" applyFont="1" applyFill="1" applyBorder="1" applyAlignment="1">
      <alignment horizontal="right" vertical="center" wrapText="1"/>
    </xf>
    <xf numFmtId="4" fontId="14" fillId="3" borderId="1" xfId="4" applyNumberFormat="1" applyFont="1" applyFill="1" applyBorder="1" applyAlignment="1" applyProtection="1">
      <alignment horizontal="right" vertical="center"/>
    </xf>
    <xf numFmtId="2" fontId="0" fillId="0" borderId="1" xfId="0" applyNumberFormat="1" applyBorder="1"/>
    <xf numFmtId="0" fontId="16" fillId="5" borderId="1" xfId="0" applyFont="1" applyFill="1" applyBorder="1" applyAlignment="1">
      <alignment horizontal="right" vertical="center" wrapText="1"/>
    </xf>
    <xf numFmtId="0" fontId="17" fillId="4" borderId="1" xfId="0" applyFont="1" applyFill="1" applyBorder="1" applyAlignment="1">
      <alignment horizontal="right" vertical="center" wrapText="1"/>
    </xf>
    <xf numFmtId="0" fontId="18" fillId="4" borderId="1" xfId="0" applyFont="1" applyFill="1" applyBorder="1" applyAlignment="1">
      <alignment horizontal="right" vertical="center" wrapText="1"/>
    </xf>
    <xf numFmtId="0" fontId="19" fillId="6" borderId="1" xfId="0" applyFont="1" applyFill="1" applyBorder="1" applyAlignment="1">
      <alignment horizontal="right" vertical="center" wrapText="1"/>
    </xf>
    <xf numFmtId="0" fontId="20" fillId="5" borderId="1" xfId="0" applyFont="1" applyFill="1" applyBorder="1" applyAlignment="1">
      <alignment horizontal="right" vertical="center" wrapText="1"/>
    </xf>
    <xf numFmtId="0" fontId="17" fillId="5" borderId="24" xfId="0" applyFont="1" applyFill="1" applyBorder="1" applyAlignment="1">
      <alignment horizontal="right" vertical="center" wrapText="1"/>
    </xf>
    <xf numFmtId="0" fontId="17" fillId="4" borderId="24" xfId="0" applyFont="1" applyFill="1" applyBorder="1" applyAlignment="1">
      <alignment horizontal="right" vertical="center" wrapText="1"/>
    </xf>
    <xf numFmtId="0" fontId="17" fillId="6" borderId="24" xfId="0" applyFont="1" applyFill="1" applyBorder="1" applyAlignment="1">
      <alignment horizontal="right" vertical="center" wrapText="1"/>
    </xf>
    <xf numFmtId="2" fontId="17" fillId="5" borderId="46" xfId="0" applyNumberFormat="1" applyFont="1" applyFill="1" applyBorder="1" applyAlignment="1">
      <alignment horizontal="right" vertical="center" wrapText="1"/>
    </xf>
    <xf numFmtId="2" fontId="17" fillId="4" borderId="47" xfId="0" applyNumberFormat="1" applyFont="1" applyFill="1" applyBorder="1" applyAlignment="1">
      <alignment horizontal="right" vertical="center" wrapText="1"/>
    </xf>
    <xf numFmtId="4" fontId="14" fillId="3" borderId="48" xfId="4" applyNumberFormat="1" applyFont="1" applyFill="1" applyBorder="1" applyAlignment="1" applyProtection="1">
      <alignment horizontal="right" vertical="center"/>
    </xf>
    <xf numFmtId="2" fontId="16" fillId="5" borderId="49" xfId="0" applyNumberFormat="1" applyFont="1" applyFill="1" applyBorder="1" applyAlignment="1">
      <alignment horizontal="right" vertical="center" wrapText="1"/>
    </xf>
    <xf numFmtId="0" fontId="17" fillId="5" borderId="50" xfId="0" applyFont="1" applyFill="1" applyBorder="1" applyAlignment="1">
      <alignment horizontal="right" vertical="center" wrapText="1"/>
    </xf>
    <xf numFmtId="2" fontId="16" fillId="5" borderId="50" xfId="0" applyNumberFormat="1" applyFont="1" applyFill="1" applyBorder="1" applyAlignment="1">
      <alignment horizontal="right" vertical="center" wrapText="1"/>
    </xf>
    <xf numFmtId="0" fontId="21" fillId="0" borderId="10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44" fontId="21" fillId="0" borderId="29" xfId="0" applyNumberFormat="1" applyFont="1" applyBorder="1" applyAlignment="1">
      <alignment wrapText="1"/>
    </xf>
    <xf numFmtId="0" fontId="0" fillId="0" borderId="35" xfId="0" applyBorder="1" applyAlignment="1">
      <alignment horizontal="center"/>
    </xf>
    <xf numFmtId="0" fontId="0" fillId="0" borderId="51" xfId="0" applyBorder="1" applyAlignment="1">
      <alignment wrapText="1"/>
    </xf>
    <xf numFmtId="4" fontId="0" fillId="0" borderId="6" xfId="0" applyNumberFormat="1" applyFont="1" applyBorder="1" applyAlignment="1">
      <alignment horizontal="right" vertical="top"/>
    </xf>
    <xf numFmtId="44" fontId="0" fillId="7" borderId="0" xfId="0" applyNumberFormat="1" applyFill="1"/>
    <xf numFmtId="0" fontId="0" fillId="7" borderId="0" xfId="0" applyFill="1"/>
    <xf numFmtId="44" fontId="23" fillId="8" borderId="1" xfId="0" applyNumberFormat="1" applyFont="1" applyFill="1" applyBorder="1"/>
    <xf numFmtId="4" fontId="15" fillId="3" borderId="1" xfId="4" applyNumberFormat="1" applyFont="1" applyFill="1" applyBorder="1" applyAlignment="1" applyProtection="1">
      <alignment horizontal="right" vertical="center"/>
    </xf>
    <xf numFmtId="0" fontId="16" fillId="5" borderId="52" xfId="0" applyFont="1" applyFill="1" applyBorder="1" applyAlignment="1">
      <alignment horizontal="right" vertical="center" wrapText="1"/>
    </xf>
    <xf numFmtId="0" fontId="17" fillId="5" borderId="52" xfId="0" applyFont="1" applyFill="1" applyBorder="1" applyAlignment="1">
      <alignment horizontal="right" vertical="center" wrapText="1"/>
    </xf>
    <xf numFmtId="0" fontId="19" fillId="6" borderId="27" xfId="0" applyFont="1" applyFill="1" applyBorder="1" applyAlignment="1">
      <alignment horizontal="right" vertical="center" wrapText="1"/>
    </xf>
    <xf numFmtId="0" fontId="17" fillId="6" borderId="27" xfId="0" applyFont="1" applyFill="1" applyBorder="1" applyAlignment="1">
      <alignment horizontal="right" vertical="center" wrapText="1"/>
    </xf>
    <xf numFmtId="166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 wrapText="1"/>
    </xf>
    <xf numFmtId="0" fontId="21" fillId="0" borderId="37" xfId="0" applyFont="1" applyBorder="1" applyAlignment="1">
      <alignment wrapText="1"/>
    </xf>
    <xf numFmtId="44" fontId="0" fillId="0" borderId="24" xfId="0" applyNumberFormat="1" applyBorder="1"/>
    <xf numFmtId="44" fontId="0" fillId="0" borderId="25" xfId="0" applyNumberFormat="1" applyBorder="1"/>
    <xf numFmtId="0" fontId="0" fillId="0" borderId="19" xfId="0" applyBorder="1"/>
    <xf numFmtId="0" fontId="0" fillId="0" borderId="21" xfId="0" applyBorder="1"/>
    <xf numFmtId="0" fontId="0" fillId="0" borderId="20" xfId="0" applyBorder="1"/>
    <xf numFmtId="0" fontId="24" fillId="0" borderId="0" xfId="0" applyFont="1" applyAlignment="1">
      <alignment horizontal="center"/>
    </xf>
    <xf numFmtId="165" fontId="4" fillId="0" borderId="24" xfId="0" applyNumberFormat="1" applyFont="1" applyFill="1" applyBorder="1" applyAlignment="1">
      <alignment horizontal="center" vertical="center" wrapText="1"/>
    </xf>
    <xf numFmtId="0" fontId="0" fillId="0" borderId="25" xfId="0" applyBorder="1"/>
    <xf numFmtId="0" fontId="15" fillId="3" borderId="43" xfId="4" applyNumberFormat="1" applyFont="1" applyFill="1" applyBorder="1" applyAlignment="1" applyProtection="1">
      <alignment horizontal="left" vertical="center"/>
    </xf>
    <xf numFmtId="1" fontId="11" fillId="0" borderId="1" xfId="3" applyNumberFormat="1" applyFont="1" applyFill="1" applyBorder="1" applyAlignment="1">
      <alignment horizontal="left"/>
    </xf>
    <xf numFmtId="0" fontId="10" fillId="0" borderId="1" xfId="3" applyNumberFormat="1" applyFont="1" applyFill="1" applyBorder="1" applyAlignment="1">
      <alignment horizontal="left"/>
    </xf>
    <xf numFmtId="0" fontId="25" fillId="0" borderId="0" xfId="0" applyFont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9" fillId="0" borderId="54" xfId="0" applyFont="1" applyBorder="1" applyAlignment="1">
      <alignment vertical="center" wrapText="1"/>
    </xf>
    <xf numFmtId="0" fontId="0" fillId="9" borderId="0" xfId="0" applyFill="1"/>
    <xf numFmtId="0" fontId="0" fillId="0" borderId="53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4" xfId="0" applyNumberFormat="1" applyFont="1" applyBorder="1" applyAlignment="1">
      <alignment horizontal="left" vertical="top" wrapText="1"/>
    </xf>
    <xf numFmtId="0" fontId="0" fillId="0" borderId="4" xfId="0" applyBorder="1"/>
    <xf numFmtId="0" fontId="0" fillId="0" borderId="55" xfId="0" applyBorder="1"/>
    <xf numFmtId="0" fontId="0" fillId="0" borderId="6" xfId="0" applyBorder="1"/>
    <xf numFmtId="0" fontId="0" fillId="0" borderId="8" xfId="0" applyBorder="1" applyAlignment="1"/>
    <xf numFmtId="0" fontId="0" fillId="0" borderId="9" xfId="0" applyBorder="1" applyAlignment="1">
      <alignment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23" fillId="0" borderId="0" xfId="0" applyFont="1"/>
    <xf numFmtId="0" fontId="0" fillId="0" borderId="0" xfId="0" applyAlignment="1">
      <alignment horizontal="center" wrapText="1"/>
    </xf>
    <xf numFmtId="0" fontId="26" fillId="0" borderId="0" xfId="0" applyFont="1"/>
    <xf numFmtId="0" fontId="0" fillId="0" borderId="0" xfId="0" applyAlignment="1">
      <alignment wrapText="1"/>
    </xf>
    <xf numFmtId="167" fontId="9" fillId="0" borderId="6" xfId="0" applyNumberFormat="1" applyFont="1" applyBorder="1" applyAlignment="1">
      <alignment vertical="center" wrapText="1"/>
    </xf>
    <xf numFmtId="44" fontId="21" fillId="0" borderId="37" xfId="0" applyNumberFormat="1" applyFont="1" applyBorder="1" applyAlignment="1">
      <alignment wrapText="1"/>
    </xf>
    <xf numFmtId="42" fontId="23" fillId="8" borderId="24" xfId="0" applyNumberFormat="1" applyFont="1" applyFill="1" applyBorder="1"/>
    <xf numFmtId="0" fontId="27" fillId="0" borderId="0" xfId="0" applyFont="1"/>
    <xf numFmtId="4" fontId="27" fillId="0" borderId="0" xfId="0" applyNumberFormat="1" applyFont="1"/>
    <xf numFmtId="2" fontId="27" fillId="0" borderId="0" xfId="0" applyNumberFormat="1" applyFont="1" applyAlignment="1">
      <alignment horizontal="right"/>
    </xf>
    <xf numFmtId="0" fontId="0" fillId="0" borderId="0" xfId="0" applyAlignment="1">
      <alignment horizontal="center" wrapText="1" shrinkToFit="1"/>
    </xf>
    <xf numFmtId="0" fontId="0" fillId="0" borderId="0" xfId="0" applyAlignment="1">
      <alignment wrapText="1" shrinkToFit="1"/>
    </xf>
    <xf numFmtId="0" fontId="28" fillId="10" borderId="0" xfId="5"/>
    <xf numFmtId="0" fontId="22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Нейтральный" xfId="5" builtinId="28"/>
    <cellStyle name="Обычный" xfId="0" builtinId="0"/>
    <cellStyle name="Обычный 10 2" xfId="3"/>
    <cellStyle name="Обычный 2" xfId="1"/>
    <cellStyle name="Обычный 6" xfId="4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Лист4!$E$1:$E$44</c:f>
              <c:numCache>
                <c:formatCode>General</c:formatCode>
                <c:ptCount val="44"/>
                <c:pt idx="0">
                  <c:v>0.27</c:v>
                </c:pt>
                <c:pt idx="1">
                  <c:v>0.45</c:v>
                </c:pt>
                <c:pt idx="2">
                  <c:v>0.45</c:v>
                </c:pt>
                <c:pt idx="3">
                  <c:v>0.64</c:v>
                </c:pt>
                <c:pt idx="4">
                  <c:v>0.76</c:v>
                </c:pt>
                <c:pt idx="5">
                  <c:v>0.88</c:v>
                </c:pt>
                <c:pt idx="6">
                  <c:v>0.9</c:v>
                </c:pt>
                <c:pt idx="7">
                  <c:v>1.3</c:v>
                </c:pt>
                <c:pt idx="8">
                  <c:v>1.32</c:v>
                </c:pt>
                <c:pt idx="9">
                  <c:v>1.8</c:v>
                </c:pt>
                <c:pt idx="10">
                  <c:v>2.68</c:v>
                </c:pt>
                <c:pt idx="11">
                  <c:v>3.12</c:v>
                </c:pt>
                <c:pt idx="12">
                  <c:v>0.315</c:v>
                </c:pt>
                <c:pt idx="13">
                  <c:v>0.36</c:v>
                </c:pt>
                <c:pt idx="14">
                  <c:v>0.52</c:v>
                </c:pt>
                <c:pt idx="15">
                  <c:v>0.52</c:v>
                </c:pt>
                <c:pt idx="16">
                  <c:v>0.88</c:v>
                </c:pt>
                <c:pt idx="17">
                  <c:v>0.54</c:v>
                </c:pt>
                <c:pt idx="18">
                  <c:v>0.62</c:v>
                </c:pt>
                <c:pt idx="19">
                  <c:v>1.04</c:v>
                </c:pt>
                <c:pt idx="20">
                  <c:v>0.85</c:v>
                </c:pt>
                <c:pt idx="21">
                  <c:v>1.1000000000000001</c:v>
                </c:pt>
                <c:pt idx="22">
                  <c:v>1.26</c:v>
                </c:pt>
                <c:pt idx="23">
                  <c:v>1.04</c:v>
                </c:pt>
                <c:pt idx="24">
                  <c:v>0.98</c:v>
                </c:pt>
                <c:pt idx="25">
                  <c:v>1.28</c:v>
                </c:pt>
                <c:pt idx="26">
                  <c:v>1.68</c:v>
                </c:pt>
                <c:pt idx="27">
                  <c:v>1.18</c:v>
                </c:pt>
                <c:pt idx="28">
                  <c:v>1.52</c:v>
                </c:pt>
                <c:pt idx="29">
                  <c:v>1.92</c:v>
                </c:pt>
                <c:pt idx="30">
                  <c:v>1.66</c:v>
                </c:pt>
                <c:pt idx="31">
                  <c:v>2.2400000000000002</c:v>
                </c:pt>
                <c:pt idx="32">
                  <c:v>2.08</c:v>
                </c:pt>
                <c:pt idx="33">
                  <c:v>2.56</c:v>
                </c:pt>
                <c:pt idx="34">
                  <c:v>2</c:v>
                </c:pt>
                <c:pt idx="35">
                  <c:v>2.16</c:v>
                </c:pt>
                <c:pt idx="36">
                  <c:v>2.48</c:v>
                </c:pt>
                <c:pt idx="37">
                  <c:v>3.04</c:v>
                </c:pt>
                <c:pt idx="38">
                  <c:v>2.16</c:v>
                </c:pt>
                <c:pt idx="39">
                  <c:v>2.52</c:v>
                </c:pt>
                <c:pt idx="40">
                  <c:v>2.88</c:v>
                </c:pt>
                <c:pt idx="41">
                  <c:v>3.52</c:v>
                </c:pt>
                <c:pt idx="42">
                  <c:v>2.88</c:v>
                </c:pt>
                <c:pt idx="43">
                  <c:v>3.56</c:v>
                </c:pt>
              </c:numCache>
            </c:numRef>
          </c:xVal>
          <c:yVal>
            <c:numRef>
              <c:f>Лист4!$F$1:$F$44</c:f>
              <c:numCache>
                <c:formatCode>General</c:formatCode>
                <c:ptCount val="44"/>
                <c:pt idx="0">
                  <c:v>32238.888888888887</c:v>
                </c:pt>
                <c:pt idx="1">
                  <c:v>21750</c:v>
                </c:pt>
                <c:pt idx="2">
                  <c:v>21995</c:v>
                </c:pt>
                <c:pt idx="3">
                  <c:v>18418.359375</c:v>
                </c:pt>
                <c:pt idx="4">
                  <c:v>18138.157894736843</c:v>
                </c:pt>
                <c:pt idx="5">
                  <c:v>16739.488636363636</c:v>
                </c:pt>
                <c:pt idx="6">
                  <c:v>17205</c:v>
                </c:pt>
                <c:pt idx="7">
                  <c:v>15780</c:v>
                </c:pt>
                <c:pt idx="8">
                  <c:v>15838.06818181818</c:v>
                </c:pt>
                <c:pt idx="9">
                  <c:v>14610.833333333332</c:v>
                </c:pt>
                <c:pt idx="10">
                  <c:v>13293.47014925373</c:v>
                </c:pt>
                <c:pt idx="11">
                  <c:v>13123.798076923076</c:v>
                </c:pt>
                <c:pt idx="12">
                  <c:v>22038.282112702604</c:v>
                </c:pt>
                <c:pt idx="13">
                  <c:v>20096.546121194348</c:v>
                </c:pt>
                <c:pt idx="14">
                  <c:v>19321.6543449282</c:v>
                </c:pt>
                <c:pt idx="15">
                  <c:v>18968.530233136335</c:v>
                </c:pt>
                <c:pt idx="16">
                  <c:v>17999.474521898523</c:v>
                </c:pt>
                <c:pt idx="17">
                  <c:v>18963.659671612644</c:v>
                </c:pt>
                <c:pt idx="18">
                  <c:v>18872.041254576452</c:v>
                </c:pt>
                <c:pt idx="19">
                  <c:v>17763.346524385834</c:v>
                </c:pt>
                <c:pt idx="20">
                  <c:v>18401.586107091174</c:v>
                </c:pt>
                <c:pt idx="21">
                  <c:v>17798.256892513738</c:v>
                </c:pt>
                <c:pt idx="22">
                  <c:v>17475.253593507252</c:v>
                </c:pt>
                <c:pt idx="23">
                  <c:v>18108.935488653773</c:v>
                </c:pt>
                <c:pt idx="24">
                  <c:v>18027.726671034845</c:v>
                </c:pt>
                <c:pt idx="25">
                  <c:v>17273.21532046155</c:v>
                </c:pt>
                <c:pt idx="26">
                  <c:v>16430.910400362853</c:v>
                </c:pt>
                <c:pt idx="27">
                  <c:v>17572.498180697679</c:v>
                </c:pt>
                <c:pt idx="28">
                  <c:v>16815.795484012815</c:v>
                </c:pt>
                <c:pt idx="29">
                  <c:v>15909.827958328926</c:v>
                </c:pt>
                <c:pt idx="30">
                  <c:v>16489.921307999819</c:v>
                </c:pt>
                <c:pt idx="31">
                  <c:v>15144.738120555516</c:v>
                </c:pt>
                <c:pt idx="32">
                  <c:v>15508.351236589477</c:v>
                </c:pt>
                <c:pt idx="33">
                  <c:v>14384.895483861712</c:v>
                </c:pt>
                <c:pt idx="34">
                  <c:v>15696.75352844995</c:v>
                </c:pt>
                <c:pt idx="35">
                  <c:v>15321.324545157569</c:v>
                </c:pt>
                <c:pt idx="36">
                  <c:v>14595.117552417534</c:v>
                </c:pt>
                <c:pt idx="37">
                  <c:v>13315.928667670345</c:v>
                </c:pt>
                <c:pt idx="38">
                  <c:v>15330.1989215298</c:v>
                </c:pt>
                <c:pt idx="39">
                  <c:v>14501.334198893401</c:v>
                </c:pt>
                <c:pt idx="40">
                  <c:v>13667.848805755501</c:v>
                </c:pt>
                <c:pt idx="41">
                  <c:v>12190.539470108892</c:v>
                </c:pt>
                <c:pt idx="42">
                  <c:v>13668.514666658546</c:v>
                </c:pt>
                <c:pt idx="43">
                  <c:v>12103.834578306456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B-4524-BB3A-D689307A3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37008"/>
        <c:axId val="1859435760"/>
      </c:scatterChart>
      <c:valAx>
        <c:axId val="18594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435760"/>
        <c:crosses val="autoZero"/>
        <c:crossBetween val="midCat"/>
      </c:valAx>
      <c:valAx>
        <c:axId val="18594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4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500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Лист6!$D$12:$D$19</c:f>
              <c:numCache>
                <c:formatCode>General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0.76</c:v>
                </c:pt>
                <c:pt idx="3">
                  <c:v>0.9</c:v>
                </c:pt>
                <c:pt idx="4">
                  <c:v>1.04</c:v>
                </c:pt>
                <c:pt idx="5">
                  <c:v>0.85</c:v>
                </c:pt>
                <c:pt idx="6">
                  <c:v>1.1000000000000001</c:v>
                </c:pt>
                <c:pt idx="7">
                  <c:v>1.26</c:v>
                </c:pt>
              </c:numCache>
            </c:numRef>
          </c:xVal>
          <c:yVal>
            <c:numRef>
              <c:f>Лист6!$E$12:$E$19</c:f>
              <c:numCache>
                <c:formatCode>General</c:formatCode>
                <c:ptCount val="8"/>
                <c:pt idx="0">
                  <c:v>33938.703703703701</c:v>
                </c:pt>
                <c:pt idx="1">
                  <c:v>35263.129032258061</c:v>
                </c:pt>
                <c:pt idx="2">
                  <c:v>31750.407894736843</c:v>
                </c:pt>
                <c:pt idx="3">
                  <c:v>29324.388888888891</c:v>
                </c:pt>
                <c:pt idx="4">
                  <c:v>27543.164309849497</c:v>
                </c:pt>
                <c:pt idx="5">
                  <c:v>32140.694117647061</c:v>
                </c:pt>
                <c:pt idx="6">
                  <c:v>27144.121951408561</c:v>
                </c:pt>
                <c:pt idx="7">
                  <c:v>24042.983723829191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2-4CDD-8BF6-A10E0F17F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572-4CDD-8BF6-A10E0F17F428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Лист6!$D$8:$D$11</c:f>
              <c:numCache>
                <c:formatCode>General</c:formatCode>
                <c:ptCount val="4"/>
                <c:pt idx="0">
                  <c:v>0.45</c:v>
                </c:pt>
                <c:pt idx="1">
                  <c:v>0.52</c:v>
                </c:pt>
                <c:pt idx="2">
                  <c:v>0.64</c:v>
                </c:pt>
                <c:pt idx="3">
                  <c:v>0.88</c:v>
                </c:pt>
              </c:numCache>
            </c:numRef>
          </c:xVal>
          <c:yVal>
            <c:numRef>
              <c:f>Лист6!$E$8:$E$11</c:f>
              <c:numCache>
                <c:formatCode>General</c:formatCode>
                <c:ptCount val="4"/>
                <c:pt idx="0">
                  <c:v>37076.022222222222</c:v>
                </c:pt>
                <c:pt idx="1">
                  <c:v>37600.807692307688</c:v>
                </c:pt>
                <c:pt idx="2">
                  <c:v>34443.21875</c:v>
                </c:pt>
                <c:pt idx="3">
                  <c:v>29530.011363636364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D-4775-B0FD-72F0C911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12D-4775-B0FD-72F0C911F638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Лист6!$D$3:$D$7</c:f>
              <c:numCache>
                <c:formatCode>General</c:formatCode>
                <c:ptCount val="5"/>
                <c:pt idx="0">
                  <c:v>0.27</c:v>
                </c:pt>
                <c:pt idx="1">
                  <c:v>0.315</c:v>
                </c:pt>
                <c:pt idx="2">
                  <c:v>0.36</c:v>
                </c:pt>
                <c:pt idx="3">
                  <c:v>0.45</c:v>
                </c:pt>
                <c:pt idx="4">
                  <c:v>0.52</c:v>
                </c:pt>
              </c:numCache>
            </c:numRef>
          </c:xVal>
          <c:yVal>
            <c:numRef>
              <c:f>Лист6!$E$3:$E$7</c:f>
              <c:numCache>
                <c:formatCode>General</c:formatCode>
                <c:ptCount val="5"/>
                <c:pt idx="0">
                  <c:v>48442.696428571435</c:v>
                </c:pt>
                <c:pt idx="1">
                  <c:v>45849.238095238099</c:v>
                </c:pt>
                <c:pt idx="2">
                  <c:v>42163.25</c:v>
                </c:pt>
                <c:pt idx="3">
                  <c:v>36976.333333333328</c:v>
                </c:pt>
                <c:pt idx="4">
                  <c:v>32300.420351473898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F-43E7-999A-AF1D1D5A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CAF-43E7-999A-AF1D1D5ACB77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700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Лист6!$D$26:$D$27</c:f>
              <c:numCache>
                <c:formatCode>General</c:formatCode>
                <c:ptCount val="2"/>
                <c:pt idx="0">
                  <c:v>1.18</c:v>
                </c:pt>
                <c:pt idx="1">
                  <c:v>1.3</c:v>
                </c:pt>
              </c:numCache>
            </c:numRef>
          </c:xVal>
          <c:yVal>
            <c:numRef>
              <c:f>Лист6!$E$26:$E$27</c:f>
              <c:numCache>
                <c:formatCode>General</c:formatCode>
                <c:ptCount val="2"/>
                <c:pt idx="0">
                  <c:v>27518.889830508477</c:v>
                </c:pt>
                <c:pt idx="1">
                  <c:v>27735.8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26-4D21-91D6-69282E29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/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800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Лист6!$D$28:$D$34</c:f>
              <c:numCache>
                <c:formatCode>General</c:formatCode>
                <c:ptCount val="7"/>
                <c:pt idx="0">
                  <c:v>1.52</c:v>
                </c:pt>
                <c:pt idx="1">
                  <c:v>1.92</c:v>
                </c:pt>
                <c:pt idx="2">
                  <c:v>1.66</c:v>
                </c:pt>
                <c:pt idx="3">
                  <c:v>1.8</c:v>
                </c:pt>
                <c:pt idx="4">
                  <c:v>2.2400000000000002</c:v>
                </c:pt>
                <c:pt idx="5">
                  <c:v>2.08</c:v>
                </c:pt>
                <c:pt idx="6">
                  <c:v>2.56</c:v>
                </c:pt>
              </c:numCache>
            </c:numRef>
          </c:xVal>
          <c:yVal>
            <c:numRef>
              <c:f>Лист6!$E$28:$E$34</c:f>
              <c:numCache>
                <c:formatCode>General</c:formatCode>
                <c:ptCount val="7"/>
                <c:pt idx="0">
                  <c:v>25490.620486606516</c:v>
                </c:pt>
                <c:pt idx="1">
                  <c:v>27012.568169301201</c:v>
                </c:pt>
                <c:pt idx="2">
                  <c:v>25604.048192771086</c:v>
                </c:pt>
                <c:pt idx="3">
                  <c:v>25903.527777777777</c:v>
                </c:pt>
                <c:pt idx="4">
                  <c:v>24288.875</c:v>
                </c:pt>
                <c:pt idx="5">
                  <c:v>32068.004807692305</c:v>
                </c:pt>
                <c:pt idx="6">
                  <c:v>30013.98828125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4-4D48-9BBD-45445B2CB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074-4D48-9BBD-45445B2CB8D9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600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Лист6!$D$20:$D$25</c:f>
              <c:numCache>
                <c:formatCode>General</c:formatCode>
                <c:ptCount val="6"/>
                <c:pt idx="0">
                  <c:v>0.88</c:v>
                </c:pt>
                <c:pt idx="1">
                  <c:v>1.04</c:v>
                </c:pt>
                <c:pt idx="2">
                  <c:v>0.98</c:v>
                </c:pt>
                <c:pt idx="3">
                  <c:v>1.32</c:v>
                </c:pt>
                <c:pt idx="4">
                  <c:v>1.28</c:v>
                </c:pt>
                <c:pt idx="5">
                  <c:v>1.68</c:v>
                </c:pt>
              </c:numCache>
            </c:numRef>
          </c:xVal>
          <c:yVal>
            <c:numRef>
              <c:f>Лист6!$E$20:$E$25</c:f>
              <c:numCache>
                <c:formatCode>General</c:formatCode>
                <c:ptCount val="6"/>
                <c:pt idx="0">
                  <c:v>29700.090909090901</c:v>
                </c:pt>
                <c:pt idx="1">
                  <c:v>31770.450847558368</c:v>
                </c:pt>
                <c:pt idx="2">
                  <c:v>30030.244897959183</c:v>
                </c:pt>
                <c:pt idx="3">
                  <c:v>26442.810606060608</c:v>
                </c:pt>
                <c:pt idx="4">
                  <c:v>39356.328125</c:v>
                </c:pt>
                <c:pt idx="5">
                  <c:v>30529.434523809523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D-43B4-8574-ACE10C95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E5D-43B4-8574-ACE10C95CF03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Лист6!$D$35:$D$39</c:f>
              <c:numCache>
                <c:formatCode>General</c:formatCode>
                <c:ptCount val="5"/>
                <c:pt idx="0">
                  <c:v>2</c:v>
                </c:pt>
                <c:pt idx="1">
                  <c:v>2.16</c:v>
                </c:pt>
                <c:pt idx="2">
                  <c:v>2.68</c:v>
                </c:pt>
                <c:pt idx="3">
                  <c:v>2.48</c:v>
                </c:pt>
                <c:pt idx="4">
                  <c:v>3.04</c:v>
                </c:pt>
              </c:numCache>
            </c:numRef>
          </c:xVal>
          <c:yVal>
            <c:numRef>
              <c:f>Лист6!$E$35:$E$39</c:f>
              <c:numCache>
                <c:formatCode>General</c:formatCode>
                <c:ptCount val="5"/>
                <c:pt idx="0">
                  <c:v>24307.11</c:v>
                </c:pt>
                <c:pt idx="1">
                  <c:v>24503.958333333332</c:v>
                </c:pt>
                <c:pt idx="2">
                  <c:v>24270.735074626864</c:v>
                </c:pt>
                <c:pt idx="3">
                  <c:v>30094.806451612902</c:v>
                </c:pt>
                <c:pt idx="4">
                  <c:v>28397.13486842105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0-4FC0-B4A2-7C8CD9A7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910-4FC0-B4A2-7C8CD9A771AC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1200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Лист6!$D$35:$D$39</c:f>
              <c:numCache>
                <c:formatCode>General</c:formatCode>
                <c:ptCount val="5"/>
                <c:pt idx="0">
                  <c:v>2</c:v>
                </c:pt>
                <c:pt idx="1">
                  <c:v>2.16</c:v>
                </c:pt>
                <c:pt idx="2">
                  <c:v>2.68</c:v>
                </c:pt>
                <c:pt idx="3">
                  <c:v>2.48</c:v>
                </c:pt>
                <c:pt idx="4">
                  <c:v>3.04</c:v>
                </c:pt>
              </c:numCache>
            </c:numRef>
          </c:xVal>
          <c:yVal>
            <c:numRef>
              <c:f>Лист6!$E$35:$E$39</c:f>
              <c:numCache>
                <c:formatCode>General</c:formatCode>
                <c:ptCount val="5"/>
                <c:pt idx="0">
                  <c:v>24307.11</c:v>
                </c:pt>
                <c:pt idx="1">
                  <c:v>24503.958333333332</c:v>
                </c:pt>
                <c:pt idx="2">
                  <c:v>24270.735074626864</c:v>
                </c:pt>
                <c:pt idx="3">
                  <c:v>30094.806451612902</c:v>
                </c:pt>
                <c:pt idx="4">
                  <c:v>28397.13486842105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2-4486-B9C1-5CF2FE68E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E42-4486-B9C1-5CF2FE68E744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1400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Лист6!$D$45:$D$46</c:f>
              <c:strCache>
                <c:ptCount val="2"/>
                <c:pt idx="0">
                  <c:v>2,88</c:v>
                </c:pt>
                <c:pt idx="1">
                  <c:v>3,56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Лист6!$D$45:$D$46</c:f>
              <c:numCache>
                <c:formatCode>General</c:formatCode>
                <c:ptCount val="2"/>
                <c:pt idx="0">
                  <c:v>2.88</c:v>
                </c:pt>
                <c:pt idx="1">
                  <c:v>3.56</c:v>
                </c:pt>
              </c:numCache>
            </c:numRef>
          </c:xVal>
          <c:yVal>
            <c:numRef>
              <c:f>Лист6!$E$45:$E$46</c:f>
              <c:numCache>
                <c:formatCode>General</c:formatCode>
                <c:ptCount val="2"/>
                <c:pt idx="0">
                  <c:v>26581.1875</c:v>
                </c:pt>
                <c:pt idx="1">
                  <c:v>25530.202247191013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C-4D5E-8E89-B52A8FC68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02C-4D5E-8E89-B52A8FC68754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Общая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Лист6!$D$45:$D$46</c:f>
              <c:strCache>
                <c:ptCount val="2"/>
                <c:pt idx="0">
                  <c:v>2,88</c:v>
                </c:pt>
                <c:pt idx="1">
                  <c:v>3,56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Лист6!$D$3:$D$46</c:f>
              <c:numCache>
                <c:formatCode>General</c:formatCode>
                <c:ptCount val="44"/>
                <c:pt idx="0">
                  <c:v>0.27</c:v>
                </c:pt>
                <c:pt idx="1">
                  <c:v>0.315</c:v>
                </c:pt>
                <c:pt idx="2">
                  <c:v>0.36</c:v>
                </c:pt>
                <c:pt idx="3">
                  <c:v>0.45</c:v>
                </c:pt>
                <c:pt idx="4">
                  <c:v>0.52</c:v>
                </c:pt>
                <c:pt idx="5">
                  <c:v>0.45</c:v>
                </c:pt>
                <c:pt idx="6">
                  <c:v>0.52</c:v>
                </c:pt>
                <c:pt idx="7">
                  <c:v>0.64</c:v>
                </c:pt>
                <c:pt idx="8">
                  <c:v>0.88</c:v>
                </c:pt>
                <c:pt idx="9">
                  <c:v>0.54</c:v>
                </c:pt>
                <c:pt idx="10">
                  <c:v>0.62</c:v>
                </c:pt>
                <c:pt idx="11">
                  <c:v>0.76</c:v>
                </c:pt>
                <c:pt idx="12">
                  <c:v>0.9</c:v>
                </c:pt>
                <c:pt idx="13">
                  <c:v>1.04</c:v>
                </c:pt>
                <c:pt idx="14">
                  <c:v>0.85</c:v>
                </c:pt>
                <c:pt idx="15">
                  <c:v>1.1000000000000001</c:v>
                </c:pt>
                <c:pt idx="16">
                  <c:v>1.26</c:v>
                </c:pt>
                <c:pt idx="17">
                  <c:v>0.88</c:v>
                </c:pt>
                <c:pt idx="18">
                  <c:v>1.04</c:v>
                </c:pt>
                <c:pt idx="19">
                  <c:v>0.98</c:v>
                </c:pt>
                <c:pt idx="20">
                  <c:v>1.32</c:v>
                </c:pt>
                <c:pt idx="21">
                  <c:v>1.28</c:v>
                </c:pt>
                <c:pt idx="22">
                  <c:v>1.68</c:v>
                </c:pt>
                <c:pt idx="23">
                  <c:v>1.18</c:v>
                </c:pt>
                <c:pt idx="24">
                  <c:v>1.3</c:v>
                </c:pt>
                <c:pt idx="25">
                  <c:v>1.52</c:v>
                </c:pt>
                <c:pt idx="26">
                  <c:v>1.92</c:v>
                </c:pt>
                <c:pt idx="27">
                  <c:v>1.66</c:v>
                </c:pt>
                <c:pt idx="28">
                  <c:v>1.8</c:v>
                </c:pt>
                <c:pt idx="29">
                  <c:v>2.2400000000000002</c:v>
                </c:pt>
                <c:pt idx="30">
                  <c:v>2.08</c:v>
                </c:pt>
                <c:pt idx="31">
                  <c:v>2.56</c:v>
                </c:pt>
                <c:pt idx="32">
                  <c:v>2</c:v>
                </c:pt>
                <c:pt idx="33">
                  <c:v>2.16</c:v>
                </c:pt>
                <c:pt idx="34">
                  <c:v>2.68</c:v>
                </c:pt>
                <c:pt idx="35">
                  <c:v>2.48</c:v>
                </c:pt>
                <c:pt idx="36">
                  <c:v>3.04</c:v>
                </c:pt>
                <c:pt idx="37">
                  <c:v>2.16</c:v>
                </c:pt>
                <c:pt idx="38">
                  <c:v>2.52</c:v>
                </c:pt>
                <c:pt idx="39">
                  <c:v>3.12</c:v>
                </c:pt>
                <c:pt idx="40">
                  <c:v>2.88</c:v>
                </c:pt>
                <c:pt idx="41">
                  <c:v>3.52</c:v>
                </c:pt>
                <c:pt idx="42">
                  <c:v>2.88</c:v>
                </c:pt>
                <c:pt idx="43">
                  <c:v>3.56</c:v>
                </c:pt>
              </c:numCache>
            </c:numRef>
          </c:xVal>
          <c:yVal>
            <c:numRef>
              <c:f>Лист6!$E$3:$E$46</c:f>
              <c:numCache>
                <c:formatCode>General</c:formatCode>
                <c:ptCount val="44"/>
                <c:pt idx="0">
                  <c:v>48442.696428571435</c:v>
                </c:pt>
                <c:pt idx="1">
                  <c:v>45849.238095238099</c:v>
                </c:pt>
                <c:pt idx="2">
                  <c:v>42163.25</c:v>
                </c:pt>
                <c:pt idx="3">
                  <c:v>36976.333333333328</c:v>
                </c:pt>
                <c:pt idx="4">
                  <c:v>32300.420351473898</c:v>
                </c:pt>
                <c:pt idx="5">
                  <c:v>37076.022222222222</c:v>
                </c:pt>
                <c:pt idx="6">
                  <c:v>37600.807692307688</c:v>
                </c:pt>
                <c:pt idx="7">
                  <c:v>34443.21875</c:v>
                </c:pt>
                <c:pt idx="8">
                  <c:v>29530.011363636364</c:v>
                </c:pt>
                <c:pt idx="9">
                  <c:v>33938.703703703701</c:v>
                </c:pt>
                <c:pt idx="10">
                  <c:v>35263.129032258061</c:v>
                </c:pt>
                <c:pt idx="11">
                  <c:v>31750.407894736843</c:v>
                </c:pt>
                <c:pt idx="12">
                  <c:v>29324.388888888891</c:v>
                </c:pt>
                <c:pt idx="13">
                  <c:v>27543.164309849497</c:v>
                </c:pt>
                <c:pt idx="14">
                  <c:v>32140.694117647061</c:v>
                </c:pt>
                <c:pt idx="15">
                  <c:v>27144.121951408561</c:v>
                </c:pt>
                <c:pt idx="16">
                  <c:v>24042.983723829191</c:v>
                </c:pt>
                <c:pt idx="17">
                  <c:v>29700.090909090901</c:v>
                </c:pt>
                <c:pt idx="18">
                  <c:v>31770.450847558368</c:v>
                </c:pt>
                <c:pt idx="19">
                  <c:v>30030.244897959183</c:v>
                </c:pt>
                <c:pt idx="20">
                  <c:v>26442.810606060608</c:v>
                </c:pt>
                <c:pt idx="21">
                  <c:v>39356.328125</c:v>
                </c:pt>
                <c:pt idx="22">
                  <c:v>30529.434523809523</c:v>
                </c:pt>
                <c:pt idx="23">
                  <c:v>27518.889830508477</c:v>
                </c:pt>
                <c:pt idx="24">
                  <c:v>27735.8</c:v>
                </c:pt>
                <c:pt idx="25">
                  <c:v>25490.620486606516</c:v>
                </c:pt>
                <c:pt idx="26">
                  <c:v>27012.568169301201</c:v>
                </c:pt>
                <c:pt idx="27">
                  <c:v>25604.048192771086</c:v>
                </c:pt>
                <c:pt idx="28">
                  <c:v>25903.527777777777</c:v>
                </c:pt>
                <c:pt idx="29">
                  <c:v>24288.875</c:v>
                </c:pt>
                <c:pt idx="30">
                  <c:v>32068.004807692305</c:v>
                </c:pt>
                <c:pt idx="31">
                  <c:v>30013.98828125</c:v>
                </c:pt>
                <c:pt idx="32">
                  <c:v>24307.11</c:v>
                </c:pt>
                <c:pt idx="33">
                  <c:v>24503.958333333332</c:v>
                </c:pt>
                <c:pt idx="34">
                  <c:v>24270.735074626864</c:v>
                </c:pt>
                <c:pt idx="35">
                  <c:v>30094.806451612902</c:v>
                </c:pt>
                <c:pt idx="36">
                  <c:v>28397.13486842105</c:v>
                </c:pt>
                <c:pt idx="37">
                  <c:v>24420.434890109889</c:v>
                </c:pt>
                <c:pt idx="38">
                  <c:v>23753.357142857141</c:v>
                </c:pt>
                <c:pt idx="39">
                  <c:v>22641.560897435895</c:v>
                </c:pt>
                <c:pt idx="40">
                  <c:v>23086.279395604393</c:v>
                </c:pt>
                <c:pt idx="41">
                  <c:v>21900.363400488397</c:v>
                </c:pt>
                <c:pt idx="42">
                  <c:v>26581.1875</c:v>
                </c:pt>
                <c:pt idx="43">
                  <c:v>25530.202247191013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0-43FE-964D-9ACCE1DF7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50479"/>
        <c:axId val="18544475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Лист6!$C$3:$C$46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300</c:v>
                      </c:pt>
                      <c:pt idx="5">
                        <c:v>400</c:v>
                      </c:pt>
                      <c:pt idx="9">
                        <c:v>500</c:v>
                      </c:pt>
                      <c:pt idx="17">
                        <c:v>600</c:v>
                      </c:pt>
                      <c:pt idx="23">
                        <c:v>700</c:v>
                      </c:pt>
                      <c:pt idx="25">
                        <c:v>800</c:v>
                      </c:pt>
                      <c:pt idx="32">
                        <c:v>1000</c:v>
                      </c:pt>
                      <c:pt idx="37">
                        <c:v>1200</c:v>
                      </c:pt>
                      <c:pt idx="42">
                        <c:v>1400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Лист6!$E$3:$E$46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48442.696428571435</c:v>
                      </c:pt>
                      <c:pt idx="1">
                        <c:v>45849.238095238099</c:v>
                      </c:pt>
                      <c:pt idx="2">
                        <c:v>42163.25</c:v>
                      </c:pt>
                      <c:pt idx="3">
                        <c:v>36976.333333333328</c:v>
                      </c:pt>
                      <c:pt idx="4">
                        <c:v>32300.420351473898</c:v>
                      </c:pt>
                      <c:pt idx="5">
                        <c:v>37076.022222222222</c:v>
                      </c:pt>
                      <c:pt idx="6">
                        <c:v>37600.807692307688</c:v>
                      </c:pt>
                      <c:pt idx="7">
                        <c:v>34443.21875</c:v>
                      </c:pt>
                      <c:pt idx="8">
                        <c:v>29530.011363636364</c:v>
                      </c:pt>
                      <c:pt idx="9">
                        <c:v>33938.703703703701</c:v>
                      </c:pt>
                      <c:pt idx="10">
                        <c:v>35263.129032258061</c:v>
                      </c:pt>
                      <c:pt idx="11">
                        <c:v>31750.407894736843</c:v>
                      </c:pt>
                      <c:pt idx="12">
                        <c:v>29324.388888888891</c:v>
                      </c:pt>
                      <c:pt idx="13">
                        <c:v>27543.164309849497</c:v>
                      </c:pt>
                      <c:pt idx="14">
                        <c:v>32140.694117647061</c:v>
                      </c:pt>
                      <c:pt idx="15">
                        <c:v>27144.121951408561</c:v>
                      </c:pt>
                      <c:pt idx="16">
                        <c:v>24042.983723829191</c:v>
                      </c:pt>
                      <c:pt idx="17">
                        <c:v>29700.090909090901</c:v>
                      </c:pt>
                      <c:pt idx="18">
                        <c:v>31770.450847558368</c:v>
                      </c:pt>
                      <c:pt idx="19">
                        <c:v>30030.244897959183</c:v>
                      </c:pt>
                      <c:pt idx="20">
                        <c:v>26442.810606060608</c:v>
                      </c:pt>
                      <c:pt idx="21">
                        <c:v>39356.328125</c:v>
                      </c:pt>
                      <c:pt idx="22">
                        <c:v>30529.434523809523</c:v>
                      </c:pt>
                      <c:pt idx="23">
                        <c:v>27518.889830508477</c:v>
                      </c:pt>
                      <c:pt idx="24">
                        <c:v>27735.8</c:v>
                      </c:pt>
                      <c:pt idx="25">
                        <c:v>25490.620486606516</c:v>
                      </c:pt>
                      <c:pt idx="26">
                        <c:v>27012.568169301201</c:v>
                      </c:pt>
                      <c:pt idx="27">
                        <c:v>25604.048192771086</c:v>
                      </c:pt>
                      <c:pt idx="28">
                        <c:v>25903.527777777777</c:v>
                      </c:pt>
                      <c:pt idx="29">
                        <c:v>24288.875</c:v>
                      </c:pt>
                      <c:pt idx="30">
                        <c:v>32068.004807692305</c:v>
                      </c:pt>
                      <c:pt idx="31">
                        <c:v>30013.98828125</c:v>
                      </c:pt>
                      <c:pt idx="32">
                        <c:v>24307.11</c:v>
                      </c:pt>
                      <c:pt idx="33">
                        <c:v>24503.958333333332</c:v>
                      </c:pt>
                      <c:pt idx="34">
                        <c:v>24270.735074626864</c:v>
                      </c:pt>
                      <c:pt idx="35">
                        <c:v>30094.806451612902</c:v>
                      </c:pt>
                      <c:pt idx="36">
                        <c:v>28397.13486842105</c:v>
                      </c:pt>
                      <c:pt idx="37">
                        <c:v>24420.434890109889</c:v>
                      </c:pt>
                      <c:pt idx="38">
                        <c:v>23753.357142857141</c:v>
                      </c:pt>
                      <c:pt idx="39">
                        <c:v>22641.560897435895</c:v>
                      </c:pt>
                      <c:pt idx="40">
                        <c:v>23086.279395604393</c:v>
                      </c:pt>
                      <c:pt idx="41">
                        <c:v>21900.363400488397</c:v>
                      </c:pt>
                      <c:pt idx="42">
                        <c:v>26581.1875</c:v>
                      </c:pt>
                      <c:pt idx="43">
                        <c:v>25530.202247191013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280-43FE-964D-9ACCE1DF7EBE}"/>
                  </c:ext>
                </c:extLst>
              </c15:ser>
            </c15:filteredScatterSeries>
          </c:ext>
        </c:extLst>
      </c:scatterChart>
      <c:valAx>
        <c:axId val="185445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47567"/>
        <c:crosses val="autoZero"/>
        <c:crossBetween val="midCat"/>
      </c:valAx>
      <c:valAx>
        <c:axId val="18544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45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46</xdr:row>
      <xdr:rowOff>9525</xdr:rowOff>
    </xdr:from>
    <xdr:to>
      <xdr:col>11</xdr:col>
      <xdr:colOff>142875</xdr:colOff>
      <xdr:row>60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381001</xdr:colOff>
      <xdr:row>16</xdr:row>
      <xdr:rowOff>190498</xdr:rowOff>
    </xdr:from>
    <xdr:to>
      <xdr:col>14</xdr:col>
      <xdr:colOff>123265</xdr:colOff>
      <xdr:row>24</xdr:row>
      <xdr:rowOff>190499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8</xdr:row>
      <xdr:rowOff>179293</xdr:rowOff>
    </xdr:from>
    <xdr:to>
      <xdr:col>14</xdr:col>
      <xdr:colOff>123264</xdr:colOff>
      <xdr:row>16</xdr:row>
      <xdr:rowOff>179294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0</xdr:rowOff>
    </xdr:from>
    <xdr:to>
      <xdr:col>14</xdr:col>
      <xdr:colOff>123264</xdr:colOff>
      <xdr:row>9</xdr:row>
      <xdr:rowOff>1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336177</xdr:colOff>
      <xdr:row>33</xdr:row>
      <xdr:rowOff>112059</xdr:rowOff>
    </xdr:from>
    <xdr:to>
      <xdr:col>14</xdr:col>
      <xdr:colOff>78441</xdr:colOff>
      <xdr:row>41</xdr:row>
      <xdr:rowOff>112060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313764</xdr:colOff>
      <xdr:row>42</xdr:row>
      <xdr:rowOff>22411</xdr:rowOff>
    </xdr:from>
    <xdr:to>
      <xdr:col>14</xdr:col>
      <xdr:colOff>56028</xdr:colOff>
      <xdr:row>50</xdr:row>
      <xdr:rowOff>22412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369793</xdr:colOff>
      <xdr:row>25</xdr:row>
      <xdr:rowOff>56030</xdr:rowOff>
    </xdr:from>
    <xdr:to>
      <xdr:col>14</xdr:col>
      <xdr:colOff>112057</xdr:colOff>
      <xdr:row>33</xdr:row>
      <xdr:rowOff>56031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336176</xdr:colOff>
      <xdr:row>50</xdr:row>
      <xdr:rowOff>112059</xdr:rowOff>
    </xdr:from>
    <xdr:to>
      <xdr:col>14</xdr:col>
      <xdr:colOff>78440</xdr:colOff>
      <xdr:row>58</xdr:row>
      <xdr:rowOff>112060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369793</xdr:colOff>
      <xdr:row>59</xdr:row>
      <xdr:rowOff>0</xdr:rowOff>
    </xdr:from>
    <xdr:to>
      <xdr:col>14</xdr:col>
      <xdr:colOff>112057</xdr:colOff>
      <xdr:row>67</xdr:row>
      <xdr:rowOff>1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414618</xdr:colOff>
      <xdr:row>67</xdr:row>
      <xdr:rowOff>100853</xdr:rowOff>
    </xdr:from>
    <xdr:to>
      <xdr:col>14</xdr:col>
      <xdr:colOff>156882</xdr:colOff>
      <xdr:row>75</xdr:row>
      <xdr:rowOff>100854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470646</xdr:colOff>
      <xdr:row>76</xdr:row>
      <xdr:rowOff>123264</xdr:rowOff>
    </xdr:from>
    <xdr:to>
      <xdr:col>18</xdr:col>
      <xdr:colOff>123263</xdr:colOff>
      <xdr:row>97</xdr:row>
      <xdr:rowOff>67235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41"/>
  <sheetViews>
    <sheetView topLeftCell="Q52" zoomScale="115" zoomScaleNormal="115" workbookViewId="0">
      <selection activeCell="AE4" sqref="AE4:AE47"/>
    </sheetView>
  </sheetViews>
  <sheetFormatPr defaultRowHeight="15"/>
  <cols>
    <col min="2" max="2" width="13.85546875" bestFit="1" customWidth="1"/>
    <col min="3" max="3" width="12.42578125" customWidth="1"/>
    <col min="4" max="4" width="13" customWidth="1"/>
    <col min="5" max="5" width="10.7109375" customWidth="1"/>
    <col min="6" max="6" width="19.140625" customWidth="1"/>
    <col min="7" max="7" width="10.85546875" bestFit="1" customWidth="1"/>
    <col min="8" max="8" width="10.28515625" customWidth="1"/>
    <col min="9" max="9" width="26.5703125" style="93" customWidth="1"/>
    <col min="11" max="11" width="10.7109375" style="104" customWidth="1"/>
    <col min="12" max="12" width="7.5703125" customWidth="1"/>
    <col min="13" max="13" width="9.7109375" customWidth="1"/>
    <col min="14" max="14" width="10.5703125" customWidth="1"/>
    <col min="15" max="15" width="9" bestFit="1" customWidth="1"/>
    <col min="16" max="16" width="34.140625" customWidth="1"/>
    <col min="18" max="18" width="6.5703125" customWidth="1"/>
    <col min="19" max="19" width="9.140625" style="104"/>
    <col min="20" max="20" width="9.85546875" style="104" customWidth="1"/>
    <col min="21" max="21" width="9.28515625" customWidth="1"/>
    <col min="22" max="22" width="47.42578125" style="93" customWidth="1"/>
    <col min="23" max="23" width="9.28515625" customWidth="1"/>
    <col min="25" max="25" width="9.140625" style="104"/>
    <col min="26" max="26" width="11.42578125" style="104" customWidth="1"/>
    <col min="27" max="28" width="4.5703125" customWidth="1"/>
    <col min="29" max="29" width="4.28515625" customWidth="1"/>
    <col min="30" max="30" width="7.42578125" customWidth="1"/>
    <col min="31" max="33" width="13.42578125" style="105" customWidth="1"/>
    <col min="34" max="34" width="18.5703125" bestFit="1" customWidth="1"/>
    <col min="37" max="37" width="11.7109375" bestFit="1" customWidth="1"/>
  </cols>
  <sheetData>
    <row r="1" spans="2:38" ht="15.75" thickBot="1">
      <c r="M1" t="s">
        <v>1246</v>
      </c>
      <c r="N1" s="10">
        <v>72.569999999999993</v>
      </c>
      <c r="AE1" s="162">
        <v>0.95</v>
      </c>
      <c r="AF1" s="162"/>
      <c r="AG1" s="162"/>
      <c r="AH1" s="163" t="s">
        <v>1253</v>
      </c>
      <c r="AJ1" s="52"/>
    </row>
    <row r="2" spans="2:38" ht="15.75" thickBot="1">
      <c r="B2" s="214" t="s">
        <v>53</v>
      </c>
      <c r="C2" s="215"/>
      <c r="D2" s="159"/>
      <c r="E2" s="214" t="s">
        <v>87</v>
      </c>
      <c r="F2" s="216"/>
      <c r="G2" s="215"/>
      <c r="H2" s="217" t="s">
        <v>734</v>
      </c>
      <c r="I2" s="218"/>
      <c r="J2" s="218"/>
      <c r="K2" s="218"/>
      <c r="L2" s="218"/>
      <c r="M2" s="218"/>
      <c r="N2" s="218"/>
      <c r="O2" s="217" t="s">
        <v>853</v>
      </c>
      <c r="P2" s="218"/>
      <c r="Q2" s="218"/>
      <c r="R2" s="218"/>
      <c r="S2" s="218"/>
      <c r="T2" s="219"/>
      <c r="U2" s="217" t="s">
        <v>942</v>
      </c>
      <c r="V2" s="218"/>
      <c r="W2" s="218"/>
      <c r="X2" s="218"/>
      <c r="Y2" s="218"/>
      <c r="Z2" s="219"/>
      <c r="AA2" s="212" t="s">
        <v>698</v>
      </c>
      <c r="AB2" s="213"/>
      <c r="AC2" s="213"/>
      <c r="AD2" s="213"/>
      <c r="AE2" s="213"/>
      <c r="AF2" s="213"/>
      <c r="AG2" s="213"/>
      <c r="AH2" s="213"/>
      <c r="AI2" s="175"/>
      <c r="AJ2" s="176"/>
      <c r="AK2" s="177"/>
    </row>
    <row r="3" spans="2:38" ht="75">
      <c r="B3" s="106" t="s">
        <v>51</v>
      </c>
      <c r="C3" s="107" t="s">
        <v>1250</v>
      </c>
      <c r="D3" s="160" t="s">
        <v>1252</v>
      </c>
      <c r="E3" s="117" t="s">
        <v>51</v>
      </c>
      <c r="F3" s="118" t="s">
        <v>1249</v>
      </c>
      <c r="G3" s="107" t="s">
        <v>1250</v>
      </c>
      <c r="H3" s="117" t="s">
        <v>51</v>
      </c>
      <c r="I3" s="118" t="s">
        <v>1249</v>
      </c>
      <c r="J3" s="107" t="s">
        <v>1247</v>
      </c>
      <c r="K3" s="128" t="s">
        <v>1248</v>
      </c>
      <c r="L3" s="134" t="s">
        <v>956</v>
      </c>
      <c r="M3" s="135" t="s">
        <v>958</v>
      </c>
      <c r="N3" s="128" t="s">
        <v>957</v>
      </c>
      <c r="O3" s="117" t="s">
        <v>51</v>
      </c>
      <c r="P3" s="118" t="s">
        <v>1249</v>
      </c>
      <c r="Q3" s="134" t="s">
        <v>1245</v>
      </c>
      <c r="R3" s="134" t="s">
        <v>956</v>
      </c>
      <c r="S3" s="135" t="s">
        <v>958</v>
      </c>
      <c r="T3" s="119" t="s">
        <v>957</v>
      </c>
      <c r="U3" s="129" t="s">
        <v>51</v>
      </c>
      <c r="V3" s="118" t="s">
        <v>1249</v>
      </c>
      <c r="W3" s="108" t="s">
        <v>1245</v>
      </c>
      <c r="X3" s="134" t="s">
        <v>956</v>
      </c>
      <c r="Y3" s="135" t="s">
        <v>958</v>
      </c>
      <c r="Z3" s="135" t="s">
        <v>957</v>
      </c>
      <c r="AA3" s="155" t="s">
        <v>46</v>
      </c>
      <c r="AB3" s="156" t="s">
        <v>47</v>
      </c>
      <c r="AC3" s="156" t="s">
        <v>48</v>
      </c>
      <c r="AD3" s="157" t="s">
        <v>51</v>
      </c>
      <c r="AE3" s="158" t="s">
        <v>1568</v>
      </c>
      <c r="AF3" s="204" t="s">
        <v>1567</v>
      </c>
      <c r="AG3" s="204"/>
      <c r="AH3" s="172" t="s">
        <v>1251</v>
      </c>
      <c r="AI3" s="32"/>
      <c r="AJ3" s="10"/>
      <c r="AK3" s="33"/>
      <c r="AL3" t="s">
        <v>1431</v>
      </c>
    </row>
    <row r="4" spans="2:38" ht="24.75" thickBot="1">
      <c r="B4" s="30" t="s">
        <v>52</v>
      </c>
      <c r="C4" s="31">
        <v>3055</v>
      </c>
      <c r="D4" s="161">
        <f>C4*0.75</f>
        <v>2291.25</v>
      </c>
      <c r="E4" s="60" t="s">
        <v>139</v>
      </c>
      <c r="F4" s="13" t="s">
        <v>140</v>
      </c>
      <c r="G4" s="86">
        <v>2644</v>
      </c>
      <c r="H4" s="13">
        <v>1035500</v>
      </c>
      <c r="I4" s="90" t="s">
        <v>704</v>
      </c>
      <c r="J4" s="88">
        <v>46.489999999999995</v>
      </c>
      <c r="K4" s="140">
        <f t="shared" ref="K4:K35" si="0">J4*$N$1</f>
        <v>3373.7792999999992</v>
      </c>
      <c r="L4" s="10"/>
      <c r="M4" s="141" t="s">
        <v>943</v>
      </c>
      <c r="N4" s="146" t="s">
        <v>944</v>
      </c>
      <c r="O4" s="130" t="s">
        <v>771</v>
      </c>
      <c r="P4" s="131" t="s">
        <v>772</v>
      </c>
      <c r="Q4" s="132">
        <v>4682.79</v>
      </c>
      <c r="R4" s="139">
        <v>0</v>
      </c>
      <c r="S4" s="138">
        <v>3868.04</v>
      </c>
      <c r="T4" s="133">
        <v>5012</v>
      </c>
      <c r="U4" s="136" t="s">
        <v>940</v>
      </c>
      <c r="V4" s="98" t="s">
        <v>941</v>
      </c>
      <c r="W4" s="99">
        <v>2814.02</v>
      </c>
      <c r="X4" s="109">
        <v>19</v>
      </c>
      <c r="Y4" s="110">
        <v>2324.41</v>
      </c>
      <c r="Z4" s="111">
        <v>3012</v>
      </c>
      <c r="AA4" s="55">
        <v>300</v>
      </c>
      <c r="AB4" s="56">
        <v>200</v>
      </c>
      <c r="AC4" s="56">
        <v>150</v>
      </c>
      <c r="AD4" s="57" t="s">
        <v>1254</v>
      </c>
      <c r="AE4" s="164">
        <f>Y4*$AE$1</f>
        <v>2208.1895</v>
      </c>
      <c r="AF4" s="205">
        <f t="shared" ref="AF4:AF47" si="1">AE4/0.75</f>
        <v>2944.2526666666668</v>
      </c>
      <c r="AG4" s="205">
        <f t="shared" ref="AG4:AG47" si="2">ROUND(AF4,0)</f>
        <v>2944</v>
      </c>
      <c r="AH4" s="174">
        <f>X47*AE4</f>
        <v>13249.136999999999</v>
      </c>
      <c r="AI4" s="34">
        <v>1</v>
      </c>
      <c r="AJ4" s="77">
        <f t="shared" ref="AJ4:AJ47" si="3">2*(AA4*AB4+AB4*AC4+AA4*AC4)/1000000</f>
        <v>0.27</v>
      </c>
      <c r="AK4" s="124">
        <f t="shared" ref="AK4:AK47" si="4">AE4/AJ4</f>
        <v>8178.479629629629</v>
      </c>
      <c r="AL4" s="187">
        <v>3541.4</v>
      </c>
    </row>
    <row r="5" spans="2:38" ht="15.75" thickBot="1">
      <c r="B5" s="32"/>
      <c r="C5" s="33"/>
      <c r="D5" s="161">
        <f t="shared" ref="D5:D47" si="5">C5*0.75</f>
        <v>0</v>
      </c>
      <c r="E5" s="32"/>
      <c r="F5" s="10"/>
      <c r="G5" s="85"/>
      <c r="H5" s="13"/>
      <c r="I5" s="89"/>
      <c r="J5" s="10"/>
      <c r="K5" s="140">
        <f t="shared" si="0"/>
        <v>0</v>
      </c>
      <c r="L5" s="10"/>
      <c r="M5" s="10"/>
      <c r="N5" s="85"/>
      <c r="O5" s="95" t="s">
        <v>779</v>
      </c>
      <c r="P5" s="94" t="s">
        <v>780</v>
      </c>
      <c r="Q5" s="99">
        <v>4838.95</v>
      </c>
      <c r="R5" s="151">
        <v>0</v>
      </c>
      <c r="S5" s="152">
        <v>3997.03</v>
      </c>
      <c r="T5" s="125">
        <v>5179</v>
      </c>
      <c r="U5" s="136" t="s">
        <v>932</v>
      </c>
      <c r="V5" s="98" t="s">
        <v>933</v>
      </c>
      <c r="W5" s="99">
        <v>2899.45</v>
      </c>
      <c r="X5" s="10">
        <v>7</v>
      </c>
      <c r="Y5" s="110">
        <v>2394.98</v>
      </c>
      <c r="Z5" s="111">
        <v>3103</v>
      </c>
      <c r="AA5" s="53">
        <v>300</v>
      </c>
      <c r="AB5" s="1">
        <v>250</v>
      </c>
      <c r="AC5" s="1">
        <v>150</v>
      </c>
      <c r="AD5" s="54" t="s">
        <v>1255</v>
      </c>
      <c r="AE5" s="164">
        <f t="shared" ref="AE5:AE47" si="6">Y5*$AE$1</f>
        <v>2275.2309999999998</v>
      </c>
      <c r="AF5" s="205">
        <f t="shared" si="1"/>
        <v>3033.641333333333</v>
      </c>
      <c r="AG5" s="205">
        <f t="shared" si="2"/>
        <v>3034</v>
      </c>
      <c r="AH5" s="173">
        <f t="shared" ref="AH5:AH43" si="7">X4*AE5</f>
        <v>43229.388999999996</v>
      </c>
      <c r="AI5" s="32">
        <v>1</v>
      </c>
      <c r="AJ5" s="10">
        <f t="shared" si="3"/>
        <v>0.315</v>
      </c>
      <c r="AK5" s="120">
        <f t="shared" si="4"/>
        <v>7222.9555555555544</v>
      </c>
    </row>
    <row r="6" spans="2:38" ht="24.75" thickBot="1">
      <c r="B6" s="30" t="s">
        <v>54</v>
      </c>
      <c r="C6" s="31">
        <v>3433</v>
      </c>
      <c r="D6" s="161">
        <f t="shared" si="5"/>
        <v>2574.75</v>
      </c>
      <c r="E6" s="60" t="s">
        <v>145</v>
      </c>
      <c r="F6" s="13" t="s">
        <v>146</v>
      </c>
      <c r="G6" s="86">
        <v>2970</v>
      </c>
      <c r="H6" s="13">
        <v>1036500</v>
      </c>
      <c r="I6" s="90" t="s">
        <v>705</v>
      </c>
      <c r="J6" s="88">
        <v>59.22</v>
      </c>
      <c r="K6" s="140">
        <f t="shared" si="0"/>
        <v>4297.5953999999992</v>
      </c>
      <c r="L6" s="10"/>
      <c r="M6" s="141" t="s">
        <v>945</v>
      </c>
      <c r="N6" s="146" t="s">
        <v>946</v>
      </c>
      <c r="O6" s="95" t="s">
        <v>773</v>
      </c>
      <c r="P6" s="94" t="s">
        <v>774</v>
      </c>
      <c r="Q6" s="99">
        <v>5205.09</v>
      </c>
      <c r="R6" s="139">
        <v>0</v>
      </c>
      <c r="S6" s="110">
        <v>4299.47</v>
      </c>
      <c r="T6" s="149">
        <v>5571</v>
      </c>
      <c r="U6" s="136" t="s">
        <v>938</v>
      </c>
      <c r="V6" s="98" t="s">
        <v>939</v>
      </c>
      <c r="W6" s="99">
        <v>3080.11</v>
      </c>
      <c r="X6" s="109">
        <v>55</v>
      </c>
      <c r="Y6" s="110">
        <v>2544.21</v>
      </c>
      <c r="Z6" s="111">
        <v>3296</v>
      </c>
      <c r="AA6" s="53">
        <v>300</v>
      </c>
      <c r="AB6" s="1">
        <v>300</v>
      </c>
      <c r="AC6" s="1">
        <v>150</v>
      </c>
      <c r="AD6" s="54" t="s">
        <v>1263</v>
      </c>
      <c r="AE6" s="164">
        <f t="shared" si="6"/>
        <v>2416.9994999999999</v>
      </c>
      <c r="AF6" s="205">
        <f t="shared" si="1"/>
        <v>3222.6659999999997</v>
      </c>
      <c r="AG6" s="205">
        <f t="shared" si="2"/>
        <v>3223</v>
      </c>
      <c r="AH6" s="173">
        <f t="shared" si="7"/>
        <v>16918.996500000001</v>
      </c>
      <c r="AI6" s="32">
        <v>1</v>
      </c>
      <c r="AJ6" s="10">
        <f t="shared" si="3"/>
        <v>0.36</v>
      </c>
      <c r="AK6" s="120">
        <f t="shared" si="4"/>
        <v>6713.8874999999998</v>
      </c>
    </row>
    <row r="7" spans="2:38" ht="24.75" thickBot="1">
      <c r="B7" s="30" t="s">
        <v>55</v>
      </c>
      <c r="C7" s="31">
        <v>3487</v>
      </c>
      <c r="D7" s="161">
        <f t="shared" si="5"/>
        <v>2615.25</v>
      </c>
      <c r="E7" s="60" t="s">
        <v>157</v>
      </c>
      <c r="F7" s="13" t="s">
        <v>158</v>
      </c>
      <c r="G7" s="86">
        <v>3264</v>
      </c>
      <c r="H7" s="13">
        <v>1030500</v>
      </c>
      <c r="I7" s="90" t="s">
        <v>699</v>
      </c>
      <c r="J7" s="88">
        <v>57</v>
      </c>
      <c r="K7" s="140">
        <f t="shared" si="0"/>
        <v>4136.49</v>
      </c>
      <c r="L7" s="10"/>
      <c r="M7" s="141" t="s">
        <v>947</v>
      </c>
      <c r="N7" s="146" t="s">
        <v>948</v>
      </c>
      <c r="O7" s="95" t="s">
        <v>775</v>
      </c>
      <c r="P7" s="94" t="s">
        <v>776</v>
      </c>
      <c r="Q7" s="99">
        <v>5393.08</v>
      </c>
      <c r="R7" s="139">
        <v>0</v>
      </c>
      <c r="S7" s="110">
        <v>4454.75</v>
      </c>
      <c r="T7" s="149">
        <v>5772</v>
      </c>
      <c r="U7" s="136" t="s">
        <v>936</v>
      </c>
      <c r="V7" s="98" t="s">
        <v>937</v>
      </c>
      <c r="W7" s="99">
        <v>3182.84</v>
      </c>
      <c r="X7" s="109">
        <v>12</v>
      </c>
      <c r="Y7" s="110">
        <v>2629.06</v>
      </c>
      <c r="Z7" s="111">
        <v>3406</v>
      </c>
      <c r="AA7" s="53">
        <v>300</v>
      </c>
      <c r="AB7" s="1">
        <v>400</v>
      </c>
      <c r="AC7" s="1">
        <v>150</v>
      </c>
      <c r="AD7" s="54" t="s">
        <v>1256</v>
      </c>
      <c r="AE7" s="164">
        <f t="shared" si="6"/>
        <v>2497.607</v>
      </c>
      <c r="AF7" s="205">
        <f t="shared" si="1"/>
        <v>3330.1426666666666</v>
      </c>
      <c r="AG7" s="205">
        <f t="shared" si="2"/>
        <v>3330</v>
      </c>
      <c r="AH7" s="173">
        <f t="shared" si="7"/>
        <v>137368.38500000001</v>
      </c>
      <c r="AI7" s="32">
        <v>1</v>
      </c>
      <c r="AJ7" s="10">
        <f t="shared" si="3"/>
        <v>0.45</v>
      </c>
      <c r="AK7" s="120">
        <f t="shared" si="4"/>
        <v>5550.2377777777774</v>
      </c>
    </row>
    <row r="8" spans="2:38" ht="24.75" thickBot="1">
      <c r="B8" s="32"/>
      <c r="C8" s="33"/>
      <c r="D8" s="161">
        <f t="shared" si="5"/>
        <v>0</v>
      </c>
      <c r="E8" s="60" t="s">
        <v>159</v>
      </c>
      <c r="F8" s="13" t="s">
        <v>160</v>
      </c>
      <c r="G8" s="86">
        <v>3078</v>
      </c>
      <c r="H8" s="13">
        <v>1031500</v>
      </c>
      <c r="I8" s="90" t="s">
        <v>700</v>
      </c>
      <c r="J8" s="88">
        <v>62.339999999999996</v>
      </c>
      <c r="K8" s="140">
        <f t="shared" si="0"/>
        <v>4524.0137999999997</v>
      </c>
      <c r="L8" s="109">
        <v>0</v>
      </c>
      <c r="M8" s="141" t="s">
        <v>1243</v>
      </c>
      <c r="N8" s="146" t="s">
        <v>1244</v>
      </c>
      <c r="O8" s="95" t="s">
        <v>777</v>
      </c>
      <c r="P8" s="94" t="s">
        <v>778</v>
      </c>
      <c r="Q8" s="99">
        <v>5901.76</v>
      </c>
      <c r="R8" s="139">
        <v>0</v>
      </c>
      <c r="S8" s="112">
        <v>4874.92</v>
      </c>
      <c r="T8" s="150">
        <v>6316</v>
      </c>
      <c r="U8" s="136" t="s">
        <v>934</v>
      </c>
      <c r="V8" s="98" t="s">
        <v>935</v>
      </c>
      <c r="W8" s="99">
        <v>3116.51</v>
      </c>
      <c r="X8" s="109">
        <v>18</v>
      </c>
      <c r="Y8" s="112">
        <v>2574.2800000000002</v>
      </c>
      <c r="Z8" s="113">
        <v>3335</v>
      </c>
      <c r="AA8" s="53">
        <v>300</v>
      </c>
      <c r="AB8" s="1">
        <v>400</v>
      </c>
      <c r="AC8" s="1">
        <v>200</v>
      </c>
      <c r="AD8" s="54" t="s">
        <v>1257</v>
      </c>
      <c r="AE8" s="164">
        <f t="shared" si="6"/>
        <v>2445.5660000000003</v>
      </c>
      <c r="AF8" s="205">
        <f t="shared" si="1"/>
        <v>3260.7546666666672</v>
      </c>
      <c r="AG8" s="205">
        <f t="shared" si="2"/>
        <v>3261</v>
      </c>
      <c r="AH8" s="173">
        <f t="shared" si="7"/>
        <v>29346.792000000001</v>
      </c>
      <c r="AI8" s="32">
        <v>1</v>
      </c>
      <c r="AJ8" s="10">
        <f t="shared" si="3"/>
        <v>0.52</v>
      </c>
      <c r="AK8" s="120">
        <f t="shared" si="4"/>
        <v>4703.0115384615392</v>
      </c>
    </row>
    <row r="9" spans="2:38" ht="24.75" thickBot="1">
      <c r="B9" s="30" t="s">
        <v>56</v>
      </c>
      <c r="C9" s="31">
        <v>3552</v>
      </c>
      <c r="D9" s="161">
        <f t="shared" si="5"/>
        <v>2664</v>
      </c>
      <c r="E9" s="60" t="s">
        <v>163</v>
      </c>
      <c r="F9" s="13" t="s">
        <v>164</v>
      </c>
      <c r="G9" s="86">
        <v>3049</v>
      </c>
      <c r="H9" s="13"/>
      <c r="I9" s="89"/>
      <c r="J9" s="10"/>
      <c r="K9" s="140">
        <f t="shared" si="0"/>
        <v>0</v>
      </c>
      <c r="L9" s="10"/>
      <c r="M9" s="10"/>
      <c r="N9" s="85"/>
      <c r="O9" s="95" t="s">
        <v>781</v>
      </c>
      <c r="P9" s="94" t="s">
        <v>782</v>
      </c>
      <c r="Q9" s="99">
        <v>5867.24</v>
      </c>
      <c r="R9" s="139">
        <v>0</v>
      </c>
      <c r="S9" s="110">
        <v>4846.41</v>
      </c>
      <c r="T9" s="149">
        <v>6279</v>
      </c>
      <c r="U9" s="136" t="s">
        <v>930</v>
      </c>
      <c r="V9" s="98" t="s">
        <v>931</v>
      </c>
      <c r="W9" s="99">
        <v>3285.53</v>
      </c>
      <c r="X9" s="109">
        <v>14</v>
      </c>
      <c r="Y9" s="110">
        <v>2713.88</v>
      </c>
      <c r="Z9" s="111">
        <v>3516</v>
      </c>
      <c r="AA9" s="53">
        <v>400</v>
      </c>
      <c r="AB9" s="1">
        <v>300</v>
      </c>
      <c r="AC9" s="1">
        <v>150</v>
      </c>
      <c r="AD9" s="54" t="s">
        <v>1258</v>
      </c>
      <c r="AE9" s="164">
        <f t="shared" si="6"/>
        <v>2578.1860000000001</v>
      </c>
      <c r="AF9" s="205">
        <f t="shared" si="1"/>
        <v>3437.5813333333335</v>
      </c>
      <c r="AG9" s="205">
        <f t="shared" si="2"/>
        <v>3438</v>
      </c>
      <c r="AH9" s="173">
        <f t="shared" si="7"/>
        <v>46407.348000000005</v>
      </c>
      <c r="AI9" s="32">
        <v>1</v>
      </c>
      <c r="AJ9" s="10">
        <f t="shared" si="3"/>
        <v>0.45</v>
      </c>
      <c r="AK9" s="120">
        <f t="shared" si="4"/>
        <v>5729.3022222222226</v>
      </c>
    </row>
    <row r="10" spans="2:38" ht="24.75" thickBot="1">
      <c r="B10" s="30" t="s">
        <v>57</v>
      </c>
      <c r="C10" s="31">
        <v>4028</v>
      </c>
      <c r="D10" s="161">
        <f t="shared" si="5"/>
        <v>3021</v>
      </c>
      <c r="E10" s="60" t="s">
        <v>165</v>
      </c>
      <c r="F10" s="13" t="s">
        <v>166</v>
      </c>
      <c r="G10" s="86">
        <v>3457</v>
      </c>
      <c r="H10" s="13">
        <v>1034500</v>
      </c>
      <c r="I10" s="90" t="s">
        <v>703</v>
      </c>
      <c r="J10" s="88">
        <v>66.36</v>
      </c>
      <c r="K10" s="140">
        <f t="shared" si="0"/>
        <v>4815.7451999999994</v>
      </c>
      <c r="L10" s="109">
        <v>4</v>
      </c>
      <c r="M10" s="141" t="s">
        <v>967</v>
      </c>
      <c r="N10" s="146" t="s">
        <v>968</v>
      </c>
      <c r="O10" s="95" t="s">
        <v>783</v>
      </c>
      <c r="P10" s="94" t="s">
        <v>784</v>
      </c>
      <c r="Q10" s="99">
        <v>6187.28</v>
      </c>
      <c r="R10" s="139">
        <v>0</v>
      </c>
      <c r="S10" s="110">
        <v>5110.7700000000004</v>
      </c>
      <c r="T10" s="149">
        <v>6622</v>
      </c>
      <c r="U10" s="136" t="s">
        <v>928</v>
      </c>
      <c r="V10" s="98" t="s">
        <v>929</v>
      </c>
      <c r="W10" s="99">
        <v>3664.86</v>
      </c>
      <c r="X10" s="109">
        <v>38</v>
      </c>
      <c r="Y10" s="110">
        <v>3027.22</v>
      </c>
      <c r="Z10" s="111">
        <v>3922</v>
      </c>
      <c r="AA10" s="53">
        <v>400</v>
      </c>
      <c r="AB10" s="1">
        <v>300</v>
      </c>
      <c r="AC10" s="1">
        <v>200</v>
      </c>
      <c r="AD10" s="54" t="s">
        <v>1259</v>
      </c>
      <c r="AE10" s="164">
        <f t="shared" si="6"/>
        <v>2875.8589999999995</v>
      </c>
      <c r="AF10" s="205">
        <f t="shared" si="1"/>
        <v>3834.478666666666</v>
      </c>
      <c r="AG10" s="205">
        <f t="shared" si="2"/>
        <v>3834</v>
      </c>
      <c r="AH10" s="173">
        <f t="shared" si="7"/>
        <v>40262.025999999991</v>
      </c>
      <c r="AI10" s="32">
        <v>1</v>
      </c>
      <c r="AJ10" s="10">
        <f t="shared" si="3"/>
        <v>0.52</v>
      </c>
      <c r="AK10" s="120">
        <f t="shared" si="4"/>
        <v>5530.498076923076</v>
      </c>
    </row>
    <row r="11" spans="2:38" ht="24.75" thickBot="1">
      <c r="B11" s="30" t="s">
        <v>58</v>
      </c>
      <c r="C11" s="31">
        <v>4417</v>
      </c>
      <c r="D11" s="161">
        <f t="shared" si="5"/>
        <v>3312.75</v>
      </c>
      <c r="E11" s="60" t="s">
        <v>177</v>
      </c>
      <c r="F11" s="13" t="s">
        <v>178</v>
      </c>
      <c r="G11" s="86">
        <v>3791</v>
      </c>
      <c r="H11" s="13">
        <v>1380500</v>
      </c>
      <c r="I11" s="90" t="s">
        <v>733</v>
      </c>
      <c r="J11" s="88">
        <v>66.08</v>
      </c>
      <c r="K11" s="140">
        <f t="shared" si="0"/>
        <v>4795.4255999999996</v>
      </c>
      <c r="L11" s="109">
        <v>5</v>
      </c>
      <c r="M11" s="141" t="s">
        <v>964</v>
      </c>
      <c r="N11" s="146" t="s">
        <v>965</v>
      </c>
      <c r="O11" s="95" t="s">
        <v>785</v>
      </c>
      <c r="P11" s="94" t="s">
        <v>786</v>
      </c>
      <c r="Q11" s="99">
        <v>6329.86</v>
      </c>
      <c r="R11" s="139">
        <v>0</v>
      </c>
      <c r="S11" s="110">
        <v>5228.54</v>
      </c>
      <c r="T11" s="149">
        <v>6774</v>
      </c>
      <c r="U11" s="136" t="s">
        <v>926</v>
      </c>
      <c r="V11" s="98" t="s">
        <v>927</v>
      </c>
      <c r="W11" s="99">
        <v>3712.47</v>
      </c>
      <c r="X11" s="10"/>
      <c r="Y11" s="110">
        <v>3066.55</v>
      </c>
      <c r="Z11" s="111">
        <v>3973</v>
      </c>
      <c r="AA11" s="53">
        <v>400</v>
      </c>
      <c r="AB11" s="1">
        <v>400</v>
      </c>
      <c r="AC11" s="1">
        <v>200</v>
      </c>
      <c r="AD11" s="54" t="s">
        <v>1260</v>
      </c>
      <c r="AE11" s="164">
        <f t="shared" si="6"/>
        <v>2913.2224999999999</v>
      </c>
      <c r="AF11" s="205">
        <f t="shared" si="1"/>
        <v>3884.2966666666666</v>
      </c>
      <c r="AG11" s="205">
        <f t="shared" si="2"/>
        <v>3884</v>
      </c>
      <c r="AH11" s="173">
        <f t="shared" si="7"/>
        <v>110702.45499999999</v>
      </c>
      <c r="AI11" s="32">
        <v>1</v>
      </c>
      <c r="AJ11" s="10">
        <f t="shared" si="3"/>
        <v>0.64</v>
      </c>
      <c r="AK11" s="120">
        <f t="shared" si="4"/>
        <v>4551.91015625</v>
      </c>
    </row>
    <row r="12" spans="2:38" ht="24.75" thickBot="1">
      <c r="B12" s="30" t="s">
        <v>59</v>
      </c>
      <c r="C12" s="31">
        <v>5296</v>
      </c>
      <c r="D12" s="161">
        <f t="shared" si="5"/>
        <v>3972</v>
      </c>
      <c r="E12" s="60" t="s">
        <v>183</v>
      </c>
      <c r="F12" s="13" t="s">
        <v>184</v>
      </c>
      <c r="G12" s="86">
        <v>4547</v>
      </c>
      <c r="H12" s="13">
        <v>1039500</v>
      </c>
      <c r="I12" s="90" t="s">
        <v>708</v>
      </c>
      <c r="J12" s="88">
        <v>87.29</v>
      </c>
      <c r="K12" s="140">
        <f t="shared" si="0"/>
        <v>6334.6352999999999</v>
      </c>
      <c r="L12" s="109">
        <v>1</v>
      </c>
      <c r="M12" s="141" t="s">
        <v>996</v>
      </c>
      <c r="N12" s="146" t="s">
        <v>997</v>
      </c>
      <c r="O12" s="95" t="s">
        <v>787</v>
      </c>
      <c r="P12" s="94" t="s">
        <v>788</v>
      </c>
      <c r="Q12" s="99">
        <v>8646.76</v>
      </c>
      <c r="R12" s="109">
        <v>0</v>
      </c>
      <c r="S12" s="110">
        <v>7142.33</v>
      </c>
      <c r="T12" s="149">
        <v>9254</v>
      </c>
      <c r="U12" s="136" t="s">
        <v>924</v>
      </c>
      <c r="V12" s="98" t="s">
        <v>925</v>
      </c>
      <c r="W12" s="99">
        <v>5353.26</v>
      </c>
      <c r="X12" s="109">
        <v>20</v>
      </c>
      <c r="Y12" s="110">
        <v>4421.8599999999997</v>
      </c>
      <c r="Z12" s="111">
        <v>5729</v>
      </c>
      <c r="AA12" s="53">
        <v>400</v>
      </c>
      <c r="AB12" s="1">
        <v>600</v>
      </c>
      <c r="AC12" s="1">
        <v>200</v>
      </c>
      <c r="AD12" s="54" t="s">
        <v>1261</v>
      </c>
      <c r="AE12" s="164">
        <f t="shared" si="6"/>
        <v>4200.7669999999998</v>
      </c>
      <c r="AF12" s="205">
        <f t="shared" si="1"/>
        <v>5601.0226666666667</v>
      </c>
      <c r="AG12" s="205">
        <f t="shared" si="2"/>
        <v>5601</v>
      </c>
      <c r="AH12" s="173">
        <f t="shared" si="7"/>
        <v>0</v>
      </c>
      <c r="AI12" s="32">
        <v>1</v>
      </c>
      <c r="AJ12" s="10">
        <f t="shared" si="3"/>
        <v>0.88</v>
      </c>
      <c r="AK12" s="120">
        <f t="shared" si="4"/>
        <v>4773.5988636363636</v>
      </c>
    </row>
    <row r="13" spans="2:38" ht="24.75" thickBot="1">
      <c r="B13" s="30" t="s">
        <v>60</v>
      </c>
      <c r="C13" s="31">
        <v>4782</v>
      </c>
      <c r="D13" s="161">
        <f t="shared" si="5"/>
        <v>3586.5</v>
      </c>
      <c r="E13" s="60" t="s">
        <v>205</v>
      </c>
      <c r="F13" s="13" t="s">
        <v>206</v>
      </c>
      <c r="G13" s="86">
        <v>4074</v>
      </c>
      <c r="H13" s="13"/>
      <c r="I13" s="89"/>
      <c r="J13" s="10"/>
      <c r="K13" s="140">
        <f t="shared" si="0"/>
        <v>0</v>
      </c>
      <c r="L13" s="10"/>
      <c r="M13" s="10"/>
      <c r="N13" s="85"/>
      <c r="O13" s="95" t="s">
        <v>789</v>
      </c>
      <c r="P13" s="94" t="s">
        <v>790</v>
      </c>
      <c r="Q13" s="99">
        <v>7038.49</v>
      </c>
      <c r="R13" s="109">
        <v>0</v>
      </c>
      <c r="S13" s="110">
        <v>5813.87</v>
      </c>
      <c r="T13" s="149">
        <v>7533</v>
      </c>
      <c r="U13" s="136" t="s">
        <v>922</v>
      </c>
      <c r="V13" s="98" t="s">
        <v>923</v>
      </c>
      <c r="W13" s="99">
        <v>4205.05</v>
      </c>
      <c r="X13" s="109">
        <v>11</v>
      </c>
      <c r="Y13" s="110">
        <v>3473.42</v>
      </c>
      <c r="Z13" s="111">
        <v>4500</v>
      </c>
      <c r="AA13" s="53">
        <v>500</v>
      </c>
      <c r="AB13" s="1">
        <v>300</v>
      </c>
      <c r="AC13" s="1">
        <v>150</v>
      </c>
      <c r="AD13" s="54" t="s">
        <v>1264</v>
      </c>
      <c r="AE13" s="164">
        <f t="shared" si="6"/>
        <v>3299.7489999999998</v>
      </c>
      <c r="AF13" s="205">
        <f t="shared" si="1"/>
        <v>4399.6653333333334</v>
      </c>
      <c r="AG13" s="205">
        <f t="shared" si="2"/>
        <v>4400</v>
      </c>
      <c r="AH13" s="173">
        <f t="shared" si="7"/>
        <v>65994.98</v>
      </c>
      <c r="AI13" s="32">
        <v>1</v>
      </c>
      <c r="AJ13" s="10">
        <f t="shared" si="3"/>
        <v>0.54</v>
      </c>
      <c r="AK13" s="120">
        <f t="shared" si="4"/>
        <v>6110.6462962962951</v>
      </c>
    </row>
    <row r="14" spans="2:38" ht="24.75" thickBot="1">
      <c r="B14" s="32"/>
      <c r="C14" s="33"/>
      <c r="D14" s="161">
        <f t="shared" si="5"/>
        <v>0</v>
      </c>
      <c r="E14" s="60" t="s">
        <v>207</v>
      </c>
      <c r="F14" s="13" t="s">
        <v>208</v>
      </c>
      <c r="G14" s="86">
        <v>4106</v>
      </c>
      <c r="H14" s="13"/>
      <c r="I14" s="89"/>
      <c r="J14" s="10"/>
      <c r="K14" s="140">
        <f t="shared" si="0"/>
        <v>0</v>
      </c>
      <c r="L14" s="10"/>
      <c r="M14" s="10"/>
      <c r="N14" s="85"/>
      <c r="O14" s="95" t="s">
        <v>791</v>
      </c>
      <c r="P14" s="94" t="s">
        <v>792</v>
      </c>
      <c r="Q14" s="99">
        <v>7258.41</v>
      </c>
      <c r="R14" s="109">
        <v>0</v>
      </c>
      <c r="S14" s="110">
        <v>5995.53</v>
      </c>
      <c r="T14" s="149">
        <v>7768</v>
      </c>
      <c r="U14" s="136" t="s">
        <v>920</v>
      </c>
      <c r="V14" s="98" t="s">
        <v>921</v>
      </c>
      <c r="W14" s="99">
        <v>4570.97</v>
      </c>
      <c r="X14" s="114">
        <v>10</v>
      </c>
      <c r="Y14" s="115">
        <v>3775.67</v>
      </c>
      <c r="Z14" s="116">
        <v>4892</v>
      </c>
      <c r="AA14" s="53">
        <v>500</v>
      </c>
      <c r="AB14" s="1">
        <v>300</v>
      </c>
      <c r="AC14" s="1">
        <v>200</v>
      </c>
      <c r="AD14" s="54" t="s">
        <v>1265</v>
      </c>
      <c r="AE14" s="164">
        <f t="shared" si="6"/>
        <v>3586.8865000000001</v>
      </c>
      <c r="AF14" s="205">
        <f t="shared" si="1"/>
        <v>4782.5153333333337</v>
      </c>
      <c r="AG14" s="205">
        <f t="shared" si="2"/>
        <v>4783</v>
      </c>
      <c r="AH14" s="173">
        <f t="shared" si="7"/>
        <v>39455.751499999998</v>
      </c>
      <c r="AI14" s="32">
        <v>1</v>
      </c>
      <c r="AJ14" s="10">
        <f t="shared" si="3"/>
        <v>0.62</v>
      </c>
      <c r="AK14" s="120">
        <f t="shared" si="4"/>
        <v>5785.3008064516134</v>
      </c>
    </row>
    <row r="15" spans="2:38" ht="24.75" thickBot="1">
      <c r="B15" s="30" t="s">
        <v>61</v>
      </c>
      <c r="C15" s="31">
        <v>5078</v>
      </c>
      <c r="D15" s="161">
        <f t="shared" si="5"/>
        <v>3808.5</v>
      </c>
      <c r="E15" s="60" t="s">
        <v>219</v>
      </c>
      <c r="F15" s="13" t="s">
        <v>220</v>
      </c>
      <c r="G15" s="86">
        <v>4360</v>
      </c>
      <c r="H15" s="13">
        <v>1045500</v>
      </c>
      <c r="I15" s="90" t="s">
        <v>709</v>
      </c>
      <c r="J15" s="88">
        <v>76.400000000000006</v>
      </c>
      <c r="K15" s="140">
        <f t="shared" si="0"/>
        <v>5544.348</v>
      </c>
      <c r="L15" s="142">
        <v>2</v>
      </c>
      <c r="M15" s="143" t="s">
        <v>977</v>
      </c>
      <c r="N15" s="147" t="s">
        <v>978</v>
      </c>
      <c r="O15" s="95" t="s">
        <v>793</v>
      </c>
      <c r="P15" s="94" t="s">
        <v>794</v>
      </c>
      <c r="Q15" s="99">
        <v>7355.23</v>
      </c>
      <c r="R15" s="109">
        <v>0</v>
      </c>
      <c r="S15" s="110">
        <v>6075.5</v>
      </c>
      <c r="T15" s="149">
        <v>7872</v>
      </c>
      <c r="U15" s="136" t="s">
        <v>918</v>
      </c>
      <c r="V15" s="98" t="s">
        <v>919</v>
      </c>
      <c r="W15" s="99">
        <v>4645.9799999999996</v>
      </c>
      <c r="X15" s="114">
        <v>22</v>
      </c>
      <c r="Y15" s="115">
        <v>3837.63</v>
      </c>
      <c r="Z15" s="116">
        <v>4972</v>
      </c>
      <c r="AA15" s="53">
        <v>500</v>
      </c>
      <c r="AB15" s="1">
        <v>400</v>
      </c>
      <c r="AC15" s="1">
        <v>200</v>
      </c>
      <c r="AD15" s="54" t="s">
        <v>1266</v>
      </c>
      <c r="AE15" s="164">
        <f t="shared" si="6"/>
        <v>3645.7485000000001</v>
      </c>
      <c r="AF15" s="205">
        <f t="shared" si="1"/>
        <v>4860.9980000000005</v>
      </c>
      <c r="AG15" s="205">
        <f t="shared" si="2"/>
        <v>4861</v>
      </c>
      <c r="AH15" s="173">
        <f t="shared" si="7"/>
        <v>36457.485000000001</v>
      </c>
      <c r="AI15" s="32">
        <v>1</v>
      </c>
      <c r="AJ15" s="10">
        <f t="shared" si="3"/>
        <v>0.76</v>
      </c>
      <c r="AK15" s="120">
        <f t="shared" si="4"/>
        <v>4797.0375000000004</v>
      </c>
    </row>
    <row r="16" spans="2:38" ht="24.75" thickBot="1">
      <c r="B16" s="30" t="s">
        <v>63</v>
      </c>
      <c r="C16" s="31">
        <v>5625</v>
      </c>
      <c r="D16" s="161">
        <f t="shared" si="5"/>
        <v>4218.75</v>
      </c>
      <c r="E16" s="60" t="s">
        <v>227</v>
      </c>
      <c r="F16" s="13" t="s">
        <v>228</v>
      </c>
      <c r="G16" s="86">
        <v>4829</v>
      </c>
      <c r="H16" s="13">
        <v>1050500</v>
      </c>
      <c r="I16" s="90" t="s">
        <v>710</v>
      </c>
      <c r="J16" s="88">
        <v>92.850000000000009</v>
      </c>
      <c r="K16" s="140">
        <f t="shared" si="0"/>
        <v>6738.1244999999999</v>
      </c>
      <c r="L16" s="114">
        <v>0</v>
      </c>
      <c r="M16" s="144" t="s">
        <v>1020</v>
      </c>
      <c r="N16" s="148" t="s">
        <v>1021</v>
      </c>
      <c r="O16" s="95" t="s">
        <v>797</v>
      </c>
      <c r="P16" s="94" t="s">
        <v>798</v>
      </c>
      <c r="Q16" s="99">
        <v>9198.9699999999993</v>
      </c>
      <c r="R16" s="109">
        <v>0</v>
      </c>
      <c r="S16" s="110">
        <v>7598.46</v>
      </c>
      <c r="T16" s="149">
        <v>9845</v>
      </c>
      <c r="U16" s="136" t="s">
        <v>914</v>
      </c>
      <c r="V16" s="98" t="s">
        <v>915</v>
      </c>
      <c r="W16" s="99">
        <v>5304.16</v>
      </c>
      <c r="X16" s="109">
        <v>63</v>
      </c>
      <c r="Y16" s="110">
        <v>4381.3</v>
      </c>
      <c r="Z16" s="111">
        <v>5677</v>
      </c>
      <c r="AA16" s="53">
        <v>500</v>
      </c>
      <c r="AB16" s="1">
        <v>500</v>
      </c>
      <c r="AC16" s="1">
        <v>200</v>
      </c>
      <c r="AD16" s="54" t="s">
        <v>1267</v>
      </c>
      <c r="AE16" s="164">
        <f t="shared" si="6"/>
        <v>4162.2349999999997</v>
      </c>
      <c r="AF16" s="205">
        <f t="shared" si="1"/>
        <v>5549.6466666666665</v>
      </c>
      <c r="AG16" s="205">
        <f t="shared" si="2"/>
        <v>5550</v>
      </c>
      <c r="AH16" s="173">
        <f t="shared" si="7"/>
        <v>91569.17</v>
      </c>
      <c r="AI16" s="32">
        <v>1</v>
      </c>
      <c r="AJ16" s="10">
        <f t="shared" si="3"/>
        <v>0.9</v>
      </c>
      <c r="AK16" s="120">
        <f t="shared" si="4"/>
        <v>4624.7055555555553</v>
      </c>
    </row>
    <row r="17" spans="2:38" ht="23.25" customHeight="1" thickBot="1">
      <c r="B17" s="32"/>
      <c r="C17" s="33"/>
      <c r="D17" s="161">
        <f t="shared" si="5"/>
        <v>0</v>
      </c>
      <c r="E17" s="32"/>
      <c r="F17" s="10"/>
      <c r="G17" s="85"/>
      <c r="H17" s="13"/>
      <c r="I17" s="89"/>
      <c r="J17" s="10"/>
      <c r="K17" s="140">
        <f t="shared" si="0"/>
        <v>0</v>
      </c>
      <c r="L17" s="10"/>
      <c r="M17" s="10"/>
      <c r="N17" s="85"/>
      <c r="O17" s="95" t="s">
        <v>801</v>
      </c>
      <c r="P17" s="94" t="s">
        <v>802</v>
      </c>
      <c r="Q17" s="99">
        <v>10557.71</v>
      </c>
      <c r="R17" s="109">
        <v>0</v>
      </c>
      <c r="S17" s="110">
        <v>8720.7900000000009</v>
      </c>
      <c r="T17" s="149">
        <v>11299</v>
      </c>
      <c r="U17" s="136" t="s">
        <v>910</v>
      </c>
      <c r="V17" s="98" t="s">
        <v>911</v>
      </c>
      <c r="W17" s="99">
        <v>5760.19</v>
      </c>
      <c r="X17" s="109">
        <v>0</v>
      </c>
      <c r="Y17" s="110">
        <v>4757.9799999999996</v>
      </c>
      <c r="Z17" s="111">
        <v>6165</v>
      </c>
      <c r="AA17" s="53">
        <v>500</v>
      </c>
      <c r="AB17" s="1">
        <v>600</v>
      </c>
      <c r="AC17" s="1">
        <v>200</v>
      </c>
      <c r="AD17" s="54" t="s">
        <v>1268</v>
      </c>
      <c r="AE17" s="164">
        <f t="shared" si="6"/>
        <v>4520.0809999999992</v>
      </c>
      <c r="AF17" s="205">
        <f t="shared" si="1"/>
        <v>6026.7746666666653</v>
      </c>
      <c r="AG17" s="205">
        <f t="shared" si="2"/>
        <v>6027</v>
      </c>
      <c r="AH17" s="173">
        <f t="shared" si="7"/>
        <v>284765.10299999994</v>
      </c>
      <c r="AI17" s="32">
        <v>1</v>
      </c>
      <c r="AJ17" s="10">
        <f t="shared" si="3"/>
        <v>1.04</v>
      </c>
      <c r="AK17" s="120">
        <f t="shared" si="4"/>
        <v>4346.2317307692301</v>
      </c>
    </row>
    <row r="18" spans="2:38" ht="24.75" thickBot="1">
      <c r="B18" s="30" t="s">
        <v>62</v>
      </c>
      <c r="C18" s="31">
        <v>5543</v>
      </c>
      <c r="D18" s="161">
        <f t="shared" si="5"/>
        <v>4157.25</v>
      </c>
      <c r="E18" s="60" t="s">
        <v>221</v>
      </c>
      <c r="F18" s="13" t="s">
        <v>222</v>
      </c>
      <c r="G18" s="86">
        <v>4759</v>
      </c>
      <c r="H18" s="13"/>
      <c r="I18" s="89"/>
      <c r="J18" s="10"/>
      <c r="K18" s="140">
        <f t="shared" si="0"/>
        <v>0</v>
      </c>
      <c r="L18" s="10"/>
      <c r="M18" s="10"/>
      <c r="N18" s="85"/>
      <c r="O18" s="95" t="s">
        <v>795</v>
      </c>
      <c r="P18" s="94" t="s">
        <v>796</v>
      </c>
      <c r="Q18" s="99">
        <v>8320.7900000000009</v>
      </c>
      <c r="R18" s="109">
        <v>0</v>
      </c>
      <c r="S18" s="110">
        <v>6873.08</v>
      </c>
      <c r="T18" s="149">
        <v>8905</v>
      </c>
      <c r="U18" s="136" t="s">
        <v>916</v>
      </c>
      <c r="V18" s="98" t="s">
        <v>917</v>
      </c>
      <c r="W18" s="99">
        <v>5135.3</v>
      </c>
      <c r="X18" s="109">
        <v>15</v>
      </c>
      <c r="Y18" s="110">
        <v>4241.82</v>
      </c>
      <c r="Z18" s="111">
        <v>5496</v>
      </c>
      <c r="AA18" s="53">
        <v>500</v>
      </c>
      <c r="AB18" s="1">
        <v>400</v>
      </c>
      <c r="AC18" s="1">
        <v>250</v>
      </c>
      <c r="AD18" s="54" t="s">
        <v>1269</v>
      </c>
      <c r="AE18" s="164">
        <f t="shared" si="6"/>
        <v>4029.7289999999994</v>
      </c>
      <c r="AF18" s="205">
        <f t="shared" si="1"/>
        <v>5372.9719999999988</v>
      </c>
      <c r="AG18" s="205">
        <f t="shared" si="2"/>
        <v>5373</v>
      </c>
      <c r="AH18" s="173">
        <f t="shared" si="7"/>
        <v>0</v>
      </c>
      <c r="AI18" s="32">
        <v>1</v>
      </c>
      <c r="AJ18" s="10">
        <f t="shared" si="3"/>
        <v>0.85</v>
      </c>
      <c r="AK18" s="120">
        <f t="shared" si="4"/>
        <v>4740.8576470588232</v>
      </c>
    </row>
    <row r="19" spans="2:38" ht="15.75" thickBot="1">
      <c r="B19" s="32"/>
      <c r="C19" s="33"/>
      <c r="D19" s="161">
        <f t="shared" si="5"/>
        <v>0</v>
      </c>
      <c r="E19" s="32"/>
      <c r="F19" s="10"/>
      <c r="G19" s="85"/>
      <c r="H19" s="13">
        <v>1350500</v>
      </c>
      <c r="I19" s="90" t="s">
        <v>730</v>
      </c>
      <c r="J19" s="88">
        <v>128.54999999999998</v>
      </c>
      <c r="K19" s="140">
        <f t="shared" si="0"/>
        <v>9328.8734999999979</v>
      </c>
      <c r="L19" s="109">
        <v>0</v>
      </c>
      <c r="M19" s="141" t="s">
        <v>1007</v>
      </c>
      <c r="N19" s="146" t="s">
        <v>1008</v>
      </c>
      <c r="O19" s="95" t="s">
        <v>799</v>
      </c>
      <c r="P19" s="94" t="s">
        <v>800</v>
      </c>
      <c r="Q19" s="99">
        <v>11877.42</v>
      </c>
      <c r="R19" s="109">
        <v>0</v>
      </c>
      <c r="S19" s="110">
        <v>9810.89</v>
      </c>
      <c r="T19" s="149">
        <v>12711</v>
      </c>
      <c r="U19" s="136" t="s">
        <v>912</v>
      </c>
      <c r="V19" s="98" t="s">
        <v>913</v>
      </c>
      <c r="W19" s="99">
        <v>6895.38</v>
      </c>
      <c r="X19" s="109">
        <v>25</v>
      </c>
      <c r="Y19" s="110">
        <v>5695.67</v>
      </c>
      <c r="Z19" s="111">
        <v>7380</v>
      </c>
      <c r="AA19" s="53">
        <v>500</v>
      </c>
      <c r="AB19" s="1">
        <v>500</v>
      </c>
      <c r="AC19" s="1">
        <v>300</v>
      </c>
      <c r="AD19" s="54" t="s">
        <v>1270</v>
      </c>
      <c r="AE19" s="164">
        <f t="shared" si="6"/>
        <v>5410.8864999999996</v>
      </c>
      <c r="AF19" s="205">
        <f t="shared" si="1"/>
        <v>7214.5153333333328</v>
      </c>
      <c r="AG19" s="205">
        <f t="shared" si="2"/>
        <v>7215</v>
      </c>
      <c r="AH19" s="173">
        <f t="shared" si="7"/>
        <v>81163.297500000001</v>
      </c>
      <c r="AI19" s="32">
        <v>1</v>
      </c>
      <c r="AJ19" s="10">
        <f t="shared" si="3"/>
        <v>1.1000000000000001</v>
      </c>
      <c r="AK19" s="120">
        <f t="shared" si="4"/>
        <v>4918.9877272727263</v>
      </c>
    </row>
    <row r="20" spans="2:38" ht="15.75" thickBot="1">
      <c r="B20" s="32"/>
      <c r="C20" s="33"/>
      <c r="D20" s="161">
        <f t="shared" si="5"/>
        <v>0</v>
      </c>
      <c r="E20" s="32"/>
      <c r="F20" s="10"/>
      <c r="G20" s="85"/>
      <c r="H20" s="13"/>
      <c r="I20" s="89"/>
      <c r="J20" s="10"/>
      <c r="K20" s="140">
        <f t="shared" si="0"/>
        <v>0</v>
      </c>
      <c r="L20" s="10"/>
      <c r="M20" s="10"/>
      <c r="N20" s="85"/>
      <c r="O20" s="95" t="s">
        <v>803</v>
      </c>
      <c r="P20" s="94" t="s">
        <v>804</v>
      </c>
      <c r="Q20" s="99">
        <v>12453.46</v>
      </c>
      <c r="R20" s="109">
        <v>0</v>
      </c>
      <c r="S20" s="110">
        <v>10286.709999999999</v>
      </c>
      <c r="T20" s="149">
        <v>13328</v>
      </c>
      <c r="U20" s="136" t="s">
        <v>908</v>
      </c>
      <c r="V20" s="98" t="s">
        <v>909</v>
      </c>
      <c r="W20" s="99">
        <v>7488.24</v>
      </c>
      <c r="X20" s="109">
        <v>2</v>
      </c>
      <c r="Y20" s="110">
        <v>6185.37</v>
      </c>
      <c r="Z20" s="111">
        <v>8014</v>
      </c>
      <c r="AA20" s="53">
        <v>500</v>
      </c>
      <c r="AB20" s="1">
        <v>600</v>
      </c>
      <c r="AC20" s="1">
        <v>300</v>
      </c>
      <c r="AD20" s="54" t="s">
        <v>1271</v>
      </c>
      <c r="AE20" s="164">
        <f t="shared" si="6"/>
        <v>5876.1014999999998</v>
      </c>
      <c r="AF20" s="205">
        <f t="shared" si="1"/>
        <v>7834.8019999999997</v>
      </c>
      <c r="AG20" s="205">
        <f t="shared" si="2"/>
        <v>7835</v>
      </c>
      <c r="AH20" s="173">
        <f t="shared" si="7"/>
        <v>146902.53750000001</v>
      </c>
      <c r="AI20" s="32">
        <v>1</v>
      </c>
      <c r="AJ20" s="10">
        <f t="shared" si="3"/>
        <v>1.26</v>
      </c>
      <c r="AK20" s="120">
        <f t="shared" si="4"/>
        <v>4663.5726190476189</v>
      </c>
    </row>
    <row r="21" spans="2:38" ht="24.75" thickBot="1">
      <c r="B21" s="30" t="s">
        <v>64</v>
      </c>
      <c r="C21" s="31">
        <v>5189</v>
      </c>
      <c r="D21" s="161">
        <f t="shared" si="5"/>
        <v>3891.75</v>
      </c>
      <c r="E21" s="60" t="s">
        <v>245</v>
      </c>
      <c r="F21" s="13" t="s">
        <v>246</v>
      </c>
      <c r="G21" s="86">
        <v>4816</v>
      </c>
      <c r="H21" s="13">
        <v>1038500</v>
      </c>
      <c r="I21" s="90" t="s">
        <v>707</v>
      </c>
      <c r="J21" s="88">
        <v>81.06</v>
      </c>
      <c r="K21" s="140">
        <f t="shared" si="0"/>
        <v>5882.5241999999998</v>
      </c>
      <c r="L21" s="109">
        <v>1</v>
      </c>
      <c r="M21" s="141" t="s">
        <v>990</v>
      </c>
      <c r="N21" s="146" t="s">
        <v>991</v>
      </c>
      <c r="O21" s="95" t="s">
        <v>805</v>
      </c>
      <c r="P21" s="94" t="s">
        <v>806</v>
      </c>
      <c r="Q21" s="99">
        <v>8403.94</v>
      </c>
      <c r="R21" s="109">
        <v>0</v>
      </c>
      <c r="S21" s="110">
        <v>6941.75</v>
      </c>
      <c r="T21" s="149">
        <v>8994</v>
      </c>
      <c r="U21" s="136" t="s">
        <v>906</v>
      </c>
      <c r="V21" s="98" t="s">
        <v>907</v>
      </c>
      <c r="W21" s="99">
        <v>4912.7</v>
      </c>
      <c r="X21" s="109">
        <v>42</v>
      </c>
      <c r="Y21" s="110">
        <v>4057.95</v>
      </c>
      <c r="Z21" s="111">
        <v>5258</v>
      </c>
      <c r="AA21" s="53">
        <v>600</v>
      </c>
      <c r="AB21" s="1">
        <v>400</v>
      </c>
      <c r="AC21" s="1">
        <v>200</v>
      </c>
      <c r="AD21" s="54" t="s">
        <v>1272</v>
      </c>
      <c r="AE21" s="164">
        <f t="shared" si="6"/>
        <v>3855.0524999999998</v>
      </c>
      <c r="AF21" s="205">
        <f t="shared" si="1"/>
        <v>5140.07</v>
      </c>
      <c r="AG21" s="205">
        <f t="shared" si="2"/>
        <v>5140</v>
      </c>
      <c r="AH21" s="173">
        <f t="shared" si="7"/>
        <v>7710.1049999999996</v>
      </c>
      <c r="AI21" s="32">
        <v>1</v>
      </c>
      <c r="AJ21" s="10">
        <f t="shared" si="3"/>
        <v>0.88</v>
      </c>
      <c r="AK21" s="120">
        <f t="shared" si="4"/>
        <v>4380.741477272727</v>
      </c>
    </row>
    <row r="22" spans="2:38" ht="15.75" thickBot="1">
      <c r="B22" s="32"/>
      <c r="C22" s="33"/>
      <c r="D22" s="161">
        <f t="shared" si="5"/>
        <v>0</v>
      </c>
      <c r="E22" s="32"/>
      <c r="F22" s="10"/>
      <c r="G22" s="85"/>
      <c r="H22" s="13"/>
      <c r="I22" s="89"/>
      <c r="J22" s="10"/>
      <c r="K22" s="140">
        <f t="shared" si="0"/>
        <v>0</v>
      </c>
      <c r="L22" s="10"/>
      <c r="M22" s="10"/>
      <c r="N22" s="85"/>
      <c r="O22" s="95" t="s">
        <v>811</v>
      </c>
      <c r="P22" s="94" t="s">
        <v>812</v>
      </c>
      <c r="Q22" s="99">
        <v>11327.53</v>
      </c>
      <c r="R22" s="109">
        <v>0</v>
      </c>
      <c r="S22" s="110">
        <v>9356.67</v>
      </c>
      <c r="T22" s="149">
        <v>12123</v>
      </c>
      <c r="U22" s="136" t="s">
        <v>900</v>
      </c>
      <c r="V22" s="98" t="s">
        <v>901</v>
      </c>
      <c r="W22" s="99">
        <v>6269.62</v>
      </c>
      <c r="X22" s="109">
        <v>16</v>
      </c>
      <c r="Y22" s="110">
        <v>5178.78</v>
      </c>
      <c r="Z22" s="111">
        <v>6710</v>
      </c>
      <c r="AA22" s="53">
        <v>600</v>
      </c>
      <c r="AB22" s="1">
        <v>500</v>
      </c>
      <c r="AC22" s="1">
        <v>200</v>
      </c>
      <c r="AD22" s="54" t="s">
        <v>1273</v>
      </c>
      <c r="AE22" s="164">
        <f t="shared" si="6"/>
        <v>4919.8409999999994</v>
      </c>
      <c r="AF22" s="205">
        <f t="shared" si="1"/>
        <v>6559.7879999999996</v>
      </c>
      <c r="AG22" s="205">
        <f t="shared" si="2"/>
        <v>6560</v>
      </c>
      <c r="AH22" s="173">
        <f t="shared" si="7"/>
        <v>206633.32199999999</v>
      </c>
      <c r="AI22" s="32">
        <v>1</v>
      </c>
      <c r="AJ22" s="10">
        <f t="shared" si="3"/>
        <v>1.04</v>
      </c>
      <c r="AK22" s="120">
        <f t="shared" si="4"/>
        <v>4730.6163461538454</v>
      </c>
    </row>
    <row r="23" spans="2:38" ht="24.75" thickBot="1">
      <c r="B23" s="30" t="s">
        <v>65</v>
      </c>
      <c r="C23" s="31">
        <v>5847</v>
      </c>
      <c r="D23" s="161">
        <f t="shared" si="5"/>
        <v>4385.25</v>
      </c>
      <c r="E23" s="60" t="s">
        <v>247</v>
      </c>
      <c r="F23" s="13" t="s">
        <v>248</v>
      </c>
      <c r="G23" s="86">
        <v>5020</v>
      </c>
      <c r="H23" s="13"/>
      <c r="I23" s="89"/>
      <c r="J23" s="10"/>
      <c r="K23" s="140">
        <f t="shared" si="0"/>
        <v>0</v>
      </c>
      <c r="L23" s="10"/>
      <c r="M23" s="10"/>
      <c r="N23" s="85"/>
      <c r="O23" s="95" t="s">
        <v>809</v>
      </c>
      <c r="P23" s="94" t="s">
        <v>810</v>
      </c>
      <c r="Q23" s="99">
        <v>10298.459999999999</v>
      </c>
      <c r="R23" s="109">
        <v>0</v>
      </c>
      <c r="S23" s="110">
        <v>8506.66</v>
      </c>
      <c r="T23" s="149">
        <v>11022</v>
      </c>
      <c r="U23" s="136" t="s">
        <v>902</v>
      </c>
      <c r="V23" s="98" t="s">
        <v>903</v>
      </c>
      <c r="W23" s="99">
        <v>5723.51</v>
      </c>
      <c r="X23" s="109">
        <v>101</v>
      </c>
      <c r="Y23" s="110">
        <v>4727.68</v>
      </c>
      <c r="Z23" s="111">
        <v>6125</v>
      </c>
      <c r="AA23" s="53">
        <v>600</v>
      </c>
      <c r="AB23" s="1">
        <v>400</v>
      </c>
      <c r="AC23" s="1">
        <v>250</v>
      </c>
      <c r="AD23" s="54" t="s">
        <v>1274</v>
      </c>
      <c r="AE23" s="164">
        <f t="shared" si="6"/>
        <v>4491.2960000000003</v>
      </c>
      <c r="AF23" s="205">
        <f t="shared" si="1"/>
        <v>5988.394666666667</v>
      </c>
      <c r="AG23" s="205">
        <f t="shared" si="2"/>
        <v>5988</v>
      </c>
      <c r="AH23" s="173">
        <f t="shared" si="7"/>
        <v>71860.736000000004</v>
      </c>
      <c r="AI23" s="32">
        <v>1</v>
      </c>
      <c r="AJ23" s="10">
        <f t="shared" si="3"/>
        <v>0.98</v>
      </c>
      <c r="AK23" s="120">
        <f t="shared" si="4"/>
        <v>4582.9551020408171</v>
      </c>
      <c r="AL23" s="187">
        <v>7084.8608199999999</v>
      </c>
    </row>
    <row r="24" spans="2:38" ht="24.75" thickBot="1">
      <c r="B24" s="30" t="s">
        <v>66</v>
      </c>
      <c r="C24" s="31">
        <v>7719</v>
      </c>
      <c r="D24" s="161">
        <f t="shared" si="5"/>
        <v>5789.25</v>
      </c>
      <c r="E24" s="60" t="s">
        <v>251</v>
      </c>
      <c r="F24" s="13" t="s">
        <v>252</v>
      </c>
      <c r="G24" s="86">
        <v>6627</v>
      </c>
      <c r="H24" s="13">
        <v>1054500</v>
      </c>
      <c r="I24" s="90" t="s">
        <v>711</v>
      </c>
      <c r="J24" s="88">
        <v>135.9</v>
      </c>
      <c r="K24" s="140">
        <f t="shared" si="0"/>
        <v>9862.262999999999</v>
      </c>
      <c r="L24" s="109">
        <v>0</v>
      </c>
      <c r="M24" s="141" t="s">
        <v>1051</v>
      </c>
      <c r="N24" s="146" t="s">
        <v>1052</v>
      </c>
      <c r="O24" s="95" t="s">
        <v>815</v>
      </c>
      <c r="P24" s="94" t="s">
        <v>816</v>
      </c>
      <c r="Q24" s="99">
        <v>11910.4</v>
      </c>
      <c r="R24" s="109">
        <v>0</v>
      </c>
      <c r="S24" s="110">
        <v>9838.1299999999992</v>
      </c>
      <c r="T24" s="149">
        <v>12747</v>
      </c>
      <c r="U24" s="136" t="s">
        <v>896</v>
      </c>
      <c r="V24" s="98" t="s">
        <v>897</v>
      </c>
      <c r="W24" s="99">
        <v>6879.44</v>
      </c>
      <c r="X24" s="109">
        <v>26</v>
      </c>
      <c r="Y24" s="110">
        <v>5682.5</v>
      </c>
      <c r="Z24" s="111">
        <v>7363</v>
      </c>
      <c r="AA24" s="53">
        <v>600</v>
      </c>
      <c r="AB24" s="1">
        <v>600</v>
      </c>
      <c r="AC24" s="1">
        <v>250</v>
      </c>
      <c r="AD24" s="54" t="s">
        <v>1275</v>
      </c>
      <c r="AE24" s="164">
        <f t="shared" si="6"/>
        <v>5398.375</v>
      </c>
      <c r="AF24" s="205">
        <f t="shared" si="1"/>
        <v>7197.833333333333</v>
      </c>
      <c r="AG24" s="205">
        <f t="shared" si="2"/>
        <v>7198</v>
      </c>
      <c r="AH24" s="173">
        <f t="shared" si="7"/>
        <v>545235.875</v>
      </c>
      <c r="AI24" s="32">
        <v>1</v>
      </c>
      <c r="AJ24" s="10">
        <f t="shared" si="3"/>
        <v>1.32</v>
      </c>
      <c r="AK24" s="120">
        <f t="shared" si="4"/>
        <v>4089.67803030303</v>
      </c>
    </row>
    <row r="25" spans="2:38" ht="24.75" thickBot="1">
      <c r="B25" s="32"/>
      <c r="C25" s="33"/>
      <c r="D25" s="161">
        <f t="shared" si="5"/>
        <v>0</v>
      </c>
      <c r="E25" s="60" t="s">
        <v>257</v>
      </c>
      <c r="F25" s="13" t="s">
        <v>258</v>
      </c>
      <c r="G25" s="86">
        <v>7729</v>
      </c>
      <c r="H25" s="13"/>
      <c r="I25" s="89"/>
      <c r="J25" s="10"/>
      <c r="K25" s="140">
        <f t="shared" si="0"/>
        <v>0</v>
      </c>
      <c r="L25" s="10"/>
      <c r="M25" s="10"/>
      <c r="N25" s="85"/>
      <c r="O25" s="95" t="s">
        <v>807</v>
      </c>
      <c r="P25" s="94" t="s">
        <v>808</v>
      </c>
      <c r="Q25" s="99">
        <v>14167.6</v>
      </c>
      <c r="R25" s="109">
        <v>0</v>
      </c>
      <c r="S25" s="110">
        <v>11702.6</v>
      </c>
      <c r="T25" s="149">
        <v>15162</v>
      </c>
      <c r="U25" s="136" t="s">
        <v>904</v>
      </c>
      <c r="V25" s="98" t="s">
        <v>905</v>
      </c>
      <c r="W25" s="99">
        <v>7692.69</v>
      </c>
      <c r="X25" s="109">
        <v>4</v>
      </c>
      <c r="Y25" s="110">
        <v>6354.25</v>
      </c>
      <c r="Z25" s="111">
        <v>8233</v>
      </c>
      <c r="AA25" s="53">
        <v>600</v>
      </c>
      <c r="AB25" s="1">
        <v>400</v>
      </c>
      <c r="AC25" s="1">
        <v>400</v>
      </c>
      <c r="AD25" s="54" t="s">
        <v>1276</v>
      </c>
      <c r="AE25" s="164">
        <f t="shared" si="6"/>
        <v>6036.5374999999995</v>
      </c>
      <c r="AF25" s="205">
        <f t="shared" si="1"/>
        <v>8048.7166666666662</v>
      </c>
      <c r="AG25" s="205">
        <f t="shared" si="2"/>
        <v>8049</v>
      </c>
      <c r="AH25" s="173">
        <f t="shared" si="7"/>
        <v>156949.97499999998</v>
      </c>
      <c r="AI25" s="32">
        <v>1</v>
      </c>
      <c r="AJ25" s="10">
        <f t="shared" si="3"/>
        <v>1.28</v>
      </c>
      <c r="AK25" s="120">
        <f t="shared" si="4"/>
        <v>4716.0449218749991</v>
      </c>
    </row>
    <row r="26" spans="2:38" ht="24.75" thickBot="1">
      <c r="B26" s="32"/>
      <c r="C26" s="33"/>
      <c r="D26" s="161">
        <f t="shared" si="5"/>
        <v>0</v>
      </c>
      <c r="E26" s="61" t="s">
        <v>255</v>
      </c>
      <c r="F26" s="14" t="s">
        <v>256</v>
      </c>
      <c r="G26" s="86">
        <v>7392</v>
      </c>
      <c r="H26" s="13">
        <v>1360500</v>
      </c>
      <c r="I26" s="90" t="s">
        <v>731</v>
      </c>
      <c r="J26" s="88">
        <v>161.26999999999998</v>
      </c>
      <c r="K26" s="140">
        <f t="shared" si="0"/>
        <v>11703.363899999998</v>
      </c>
      <c r="L26" s="109">
        <v>2</v>
      </c>
      <c r="M26" s="141" t="s">
        <v>980</v>
      </c>
      <c r="N26" s="146" t="s">
        <v>981</v>
      </c>
      <c r="O26" s="95" t="s">
        <v>813</v>
      </c>
      <c r="P26" s="94" t="s">
        <v>814</v>
      </c>
      <c r="Q26" s="99">
        <v>18992.75</v>
      </c>
      <c r="R26" s="109">
        <v>0</v>
      </c>
      <c r="S26" s="110">
        <v>15688.23</v>
      </c>
      <c r="T26" s="149">
        <v>20326</v>
      </c>
      <c r="U26" s="136" t="s">
        <v>898</v>
      </c>
      <c r="V26" s="98" t="s">
        <v>899</v>
      </c>
      <c r="W26" s="99">
        <v>9708.69</v>
      </c>
      <c r="X26" s="109">
        <v>4</v>
      </c>
      <c r="Y26" s="110">
        <v>8019.49</v>
      </c>
      <c r="Z26" s="111">
        <v>10390</v>
      </c>
      <c r="AA26" s="53">
        <v>600</v>
      </c>
      <c r="AB26" s="1">
        <v>600</v>
      </c>
      <c r="AC26" s="1">
        <v>400</v>
      </c>
      <c r="AD26" s="54" t="s">
        <v>1277</v>
      </c>
      <c r="AE26" s="164">
        <f t="shared" si="6"/>
        <v>7618.5154999999995</v>
      </c>
      <c r="AF26" s="205">
        <f t="shared" si="1"/>
        <v>10158.020666666665</v>
      </c>
      <c r="AG26" s="205">
        <f t="shared" si="2"/>
        <v>10158</v>
      </c>
      <c r="AH26" s="173">
        <f t="shared" si="7"/>
        <v>30474.061999999998</v>
      </c>
      <c r="AI26" s="32">
        <v>1</v>
      </c>
      <c r="AJ26" s="10">
        <f t="shared" si="3"/>
        <v>1.68</v>
      </c>
      <c r="AK26" s="120">
        <f t="shared" si="4"/>
        <v>4534.830654761905</v>
      </c>
    </row>
    <row r="27" spans="2:38" ht="15.75" thickBot="1">
      <c r="B27" s="30" t="s">
        <v>67</v>
      </c>
      <c r="C27" s="31">
        <v>7262</v>
      </c>
      <c r="D27" s="161">
        <f t="shared" si="5"/>
        <v>5446.5</v>
      </c>
      <c r="E27" s="32"/>
      <c r="F27" s="10"/>
      <c r="G27" s="85"/>
      <c r="H27" s="13"/>
      <c r="I27" s="89"/>
      <c r="J27" s="10"/>
      <c r="K27" s="140">
        <f t="shared" si="0"/>
        <v>0</v>
      </c>
      <c r="L27" s="10"/>
      <c r="M27" s="10"/>
      <c r="N27" s="85"/>
      <c r="O27" s="95" t="s">
        <v>817</v>
      </c>
      <c r="P27" s="94" t="s">
        <v>818</v>
      </c>
      <c r="Q27" s="99">
        <v>11934.99</v>
      </c>
      <c r="R27" s="109">
        <v>0</v>
      </c>
      <c r="S27" s="110">
        <v>9858.44</v>
      </c>
      <c r="T27" s="149">
        <v>12773</v>
      </c>
      <c r="U27" s="136" t="s">
        <v>894</v>
      </c>
      <c r="V27" s="98" t="s">
        <v>895</v>
      </c>
      <c r="W27" s="99">
        <v>6223.7</v>
      </c>
      <c r="X27" s="109">
        <v>26</v>
      </c>
      <c r="Y27" s="110">
        <v>5140.8500000000004</v>
      </c>
      <c r="Z27" s="111">
        <v>6661</v>
      </c>
      <c r="AA27" s="53">
        <v>700</v>
      </c>
      <c r="AB27" s="1">
        <v>500</v>
      </c>
      <c r="AC27" s="1">
        <v>200</v>
      </c>
      <c r="AD27" s="54" t="s">
        <v>1278</v>
      </c>
      <c r="AE27" s="164">
        <f t="shared" si="6"/>
        <v>4883.8074999999999</v>
      </c>
      <c r="AF27" s="205">
        <f t="shared" si="1"/>
        <v>6511.7433333333329</v>
      </c>
      <c r="AG27" s="205">
        <f t="shared" si="2"/>
        <v>6512</v>
      </c>
      <c r="AH27" s="173">
        <f t="shared" si="7"/>
        <v>19535.23</v>
      </c>
      <c r="AI27" s="32">
        <v>1</v>
      </c>
      <c r="AJ27" s="10">
        <f t="shared" si="3"/>
        <v>1.18</v>
      </c>
      <c r="AK27" s="120">
        <f t="shared" si="4"/>
        <v>4138.8199152542375</v>
      </c>
    </row>
    <row r="28" spans="2:38" ht="24.75" thickBot="1">
      <c r="B28" s="30" t="s">
        <v>68</v>
      </c>
      <c r="C28" s="31">
        <v>7744</v>
      </c>
      <c r="D28" s="161">
        <f t="shared" si="5"/>
        <v>5808</v>
      </c>
      <c r="E28" s="60" t="s">
        <v>265</v>
      </c>
      <c r="F28" s="13" t="s">
        <v>266</v>
      </c>
      <c r="G28" s="86">
        <v>6454</v>
      </c>
      <c r="H28" s="13">
        <v>1057500</v>
      </c>
      <c r="I28" s="90" t="s">
        <v>713</v>
      </c>
      <c r="J28" s="88">
        <v>133.51</v>
      </c>
      <c r="K28" s="140">
        <f t="shared" si="0"/>
        <v>9688.8206999999984</v>
      </c>
      <c r="L28" s="109">
        <v>1</v>
      </c>
      <c r="M28" s="145" t="s">
        <v>986</v>
      </c>
      <c r="N28" s="146" t="s">
        <v>987</v>
      </c>
      <c r="O28" s="95" t="s">
        <v>819</v>
      </c>
      <c r="P28" s="94" t="s">
        <v>820</v>
      </c>
      <c r="Q28" s="99">
        <v>12160.19</v>
      </c>
      <c r="R28" s="109">
        <v>0</v>
      </c>
      <c r="S28" s="110">
        <v>10044.459999999999</v>
      </c>
      <c r="T28" s="149">
        <v>13014</v>
      </c>
      <c r="U28" s="136" t="s">
        <v>892</v>
      </c>
      <c r="V28" s="98" t="s">
        <v>893</v>
      </c>
      <c r="W28" s="99">
        <v>6579.09</v>
      </c>
      <c r="X28" s="109">
        <v>24</v>
      </c>
      <c r="Y28" s="110">
        <v>5434.41</v>
      </c>
      <c r="Z28" s="111">
        <v>7041</v>
      </c>
      <c r="AA28" s="53">
        <v>700</v>
      </c>
      <c r="AB28" s="1">
        <v>500</v>
      </c>
      <c r="AC28" s="1">
        <v>250</v>
      </c>
      <c r="AD28" s="54" t="s">
        <v>1279</v>
      </c>
      <c r="AE28" s="164">
        <f t="shared" si="6"/>
        <v>5162.6894999999995</v>
      </c>
      <c r="AF28" s="205">
        <f t="shared" si="1"/>
        <v>6883.5859999999993</v>
      </c>
      <c r="AG28" s="205">
        <f t="shared" si="2"/>
        <v>6884</v>
      </c>
      <c r="AH28" s="173">
        <f t="shared" si="7"/>
        <v>134229.927</v>
      </c>
      <c r="AI28" s="32">
        <v>1</v>
      </c>
      <c r="AJ28" s="10">
        <f t="shared" si="3"/>
        <v>1.3</v>
      </c>
      <c r="AK28" s="120">
        <f t="shared" si="4"/>
        <v>3971.2996153846148</v>
      </c>
    </row>
    <row r="29" spans="2:38" ht="15.75" thickBot="1">
      <c r="B29" s="30" t="s">
        <v>69</v>
      </c>
      <c r="C29" s="31">
        <v>8893</v>
      </c>
      <c r="D29" s="161">
        <f t="shared" si="5"/>
        <v>6669.75</v>
      </c>
      <c r="E29" s="32"/>
      <c r="F29" s="10"/>
      <c r="G29" s="85"/>
      <c r="H29" s="13"/>
      <c r="I29" s="89"/>
      <c r="J29" s="10"/>
      <c r="K29" s="140">
        <f t="shared" si="0"/>
        <v>0</v>
      </c>
      <c r="L29" s="10"/>
      <c r="M29" s="10"/>
      <c r="N29" s="85"/>
      <c r="O29" s="95" t="s">
        <v>821</v>
      </c>
      <c r="P29" s="94" t="s">
        <v>822</v>
      </c>
      <c r="Q29" s="99">
        <v>12784.27</v>
      </c>
      <c r="R29" s="109">
        <v>0</v>
      </c>
      <c r="S29" s="110">
        <v>10559.96</v>
      </c>
      <c r="T29" s="149">
        <v>13682</v>
      </c>
      <c r="U29" s="136" t="s">
        <v>882</v>
      </c>
      <c r="V29" s="98" t="s">
        <v>883</v>
      </c>
      <c r="W29" s="99">
        <v>7830.34</v>
      </c>
      <c r="X29" s="109">
        <v>10</v>
      </c>
      <c r="Y29" s="110">
        <v>6467.96</v>
      </c>
      <c r="Z29" s="111">
        <v>8380</v>
      </c>
      <c r="AA29" s="53">
        <v>800</v>
      </c>
      <c r="AB29" s="1">
        <v>600</v>
      </c>
      <c r="AC29" s="1">
        <v>200</v>
      </c>
      <c r="AD29" s="54" t="s">
        <v>1280</v>
      </c>
      <c r="AE29" s="164">
        <f t="shared" si="6"/>
        <v>6144.5619999999999</v>
      </c>
      <c r="AF29" s="205">
        <f t="shared" si="1"/>
        <v>8192.7493333333332</v>
      </c>
      <c r="AG29" s="205">
        <f t="shared" si="2"/>
        <v>8193</v>
      </c>
      <c r="AH29" s="173">
        <f t="shared" si="7"/>
        <v>147469.48800000001</v>
      </c>
      <c r="AI29" s="32">
        <v>1</v>
      </c>
      <c r="AJ29" s="10">
        <f t="shared" si="3"/>
        <v>1.52</v>
      </c>
      <c r="AK29" s="120">
        <f t="shared" si="4"/>
        <v>4042.4749999999999</v>
      </c>
    </row>
    <row r="30" spans="2:38" ht="15.75" thickBot="1">
      <c r="B30" s="32"/>
      <c r="C30" s="33"/>
      <c r="D30" s="161">
        <f t="shared" si="5"/>
        <v>0</v>
      </c>
      <c r="E30" s="32"/>
      <c r="F30" s="10"/>
      <c r="G30" s="85"/>
      <c r="H30" s="13"/>
      <c r="I30" s="89"/>
      <c r="J30" s="10"/>
      <c r="K30" s="140">
        <f t="shared" si="0"/>
        <v>0</v>
      </c>
      <c r="L30" s="10"/>
      <c r="M30" s="10"/>
      <c r="N30" s="85"/>
      <c r="O30" s="95" t="s">
        <v>829</v>
      </c>
      <c r="P30" s="94" t="s">
        <v>830</v>
      </c>
      <c r="Q30" s="99">
        <v>16214.81</v>
      </c>
      <c r="R30" s="109">
        <v>0</v>
      </c>
      <c r="S30" s="110">
        <v>13393.63</v>
      </c>
      <c r="T30" s="149">
        <v>17353</v>
      </c>
      <c r="U30" s="136" t="s">
        <v>890</v>
      </c>
      <c r="V30" s="98" t="s">
        <v>891</v>
      </c>
      <c r="W30" s="99">
        <v>10724.15</v>
      </c>
      <c r="X30" s="109">
        <v>0</v>
      </c>
      <c r="Y30" s="110">
        <v>8858.27</v>
      </c>
      <c r="Z30" s="111">
        <v>11477</v>
      </c>
      <c r="AA30" s="53">
        <v>800</v>
      </c>
      <c r="AB30" s="1">
        <v>800</v>
      </c>
      <c r="AC30" s="1">
        <v>200</v>
      </c>
      <c r="AD30" s="54" t="s">
        <v>1281</v>
      </c>
      <c r="AE30" s="164">
        <f t="shared" si="6"/>
        <v>8415.3564999999999</v>
      </c>
      <c r="AF30" s="205">
        <f t="shared" si="1"/>
        <v>11220.475333333334</v>
      </c>
      <c r="AG30" s="205">
        <f t="shared" si="2"/>
        <v>11220</v>
      </c>
      <c r="AH30" s="173">
        <f t="shared" si="7"/>
        <v>84153.565000000002</v>
      </c>
      <c r="AI30" s="32">
        <v>1</v>
      </c>
      <c r="AJ30" s="10">
        <f t="shared" si="3"/>
        <v>1.92</v>
      </c>
      <c r="AK30" s="120">
        <f t="shared" si="4"/>
        <v>4382.9981770833338</v>
      </c>
    </row>
    <row r="31" spans="2:38" ht="24.75" thickBot="1">
      <c r="B31" s="30" t="s">
        <v>70</v>
      </c>
      <c r="C31" s="31">
        <v>9453</v>
      </c>
      <c r="D31" s="161">
        <f t="shared" si="5"/>
        <v>7089.75</v>
      </c>
      <c r="E31" s="60" t="s">
        <v>277</v>
      </c>
      <c r="F31" s="13" t="s">
        <v>278</v>
      </c>
      <c r="G31" s="86">
        <v>7877</v>
      </c>
      <c r="H31" s="13">
        <v>1058500</v>
      </c>
      <c r="I31" s="90" t="s">
        <v>714</v>
      </c>
      <c r="J31" s="88">
        <v>160.88999999999999</v>
      </c>
      <c r="K31" s="140">
        <f t="shared" si="0"/>
        <v>11675.787299999998</v>
      </c>
      <c r="L31" s="109">
        <v>4</v>
      </c>
      <c r="M31" s="141" t="s">
        <v>970</v>
      </c>
      <c r="N31" s="146" t="s">
        <v>971</v>
      </c>
      <c r="O31" s="95" t="s">
        <v>827</v>
      </c>
      <c r="P31" s="94" t="s">
        <v>828</v>
      </c>
      <c r="Q31" s="99">
        <v>13479.89</v>
      </c>
      <c r="R31" s="109">
        <v>0</v>
      </c>
      <c r="S31" s="110">
        <v>11134.55</v>
      </c>
      <c r="T31" s="149">
        <v>14427</v>
      </c>
      <c r="U31" s="136" t="s">
        <v>888</v>
      </c>
      <c r="V31" s="98" t="s">
        <v>889</v>
      </c>
      <c r="W31" s="99">
        <v>8026.13</v>
      </c>
      <c r="X31" s="109">
        <v>21</v>
      </c>
      <c r="Y31" s="110">
        <v>6629.68</v>
      </c>
      <c r="Z31" s="111">
        <v>8590</v>
      </c>
      <c r="AA31" s="53">
        <v>800</v>
      </c>
      <c r="AB31" s="1">
        <v>600</v>
      </c>
      <c r="AC31" s="1">
        <v>250</v>
      </c>
      <c r="AD31" s="54" t="s">
        <v>1282</v>
      </c>
      <c r="AE31" s="164">
        <f t="shared" si="6"/>
        <v>6298.1959999999999</v>
      </c>
      <c r="AF31" s="205">
        <f t="shared" si="1"/>
        <v>8397.5946666666659</v>
      </c>
      <c r="AG31" s="205">
        <f t="shared" si="2"/>
        <v>8398</v>
      </c>
      <c r="AH31" s="173">
        <f t="shared" si="7"/>
        <v>0</v>
      </c>
      <c r="AI31" s="32">
        <v>1</v>
      </c>
      <c r="AJ31" s="10">
        <f t="shared" si="3"/>
        <v>1.66</v>
      </c>
      <c r="AK31" s="120">
        <f t="shared" si="4"/>
        <v>3794.0939759036146</v>
      </c>
    </row>
    <row r="32" spans="2:38" ht="24.75" thickBot="1">
      <c r="B32" s="30" t="s">
        <v>71</v>
      </c>
      <c r="C32" s="31">
        <v>10058</v>
      </c>
      <c r="D32" s="161">
        <f t="shared" si="5"/>
        <v>7543.5</v>
      </c>
      <c r="E32" s="60" t="s">
        <v>279</v>
      </c>
      <c r="F32" s="13" t="s">
        <v>280</v>
      </c>
      <c r="G32" s="86">
        <v>8382</v>
      </c>
      <c r="H32" s="13"/>
      <c r="I32" s="89"/>
      <c r="J32" s="10"/>
      <c r="K32" s="140">
        <f t="shared" si="0"/>
        <v>0</v>
      </c>
      <c r="L32" s="10"/>
      <c r="M32" s="10"/>
      <c r="N32" s="85"/>
      <c r="O32" s="95" t="s">
        <v>823</v>
      </c>
      <c r="P32" s="94" t="s">
        <v>824</v>
      </c>
      <c r="Q32" s="99">
        <v>13455.55</v>
      </c>
      <c r="R32" s="109">
        <v>0</v>
      </c>
      <c r="S32" s="110">
        <v>11114.44</v>
      </c>
      <c r="T32" s="149">
        <v>14400</v>
      </c>
      <c r="U32" s="136" t="s">
        <v>884</v>
      </c>
      <c r="V32" s="98" t="s">
        <v>885</v>
      </c>
      <c r="W32" s="99">
        <v>8354.14</v>
      </c>
      <c r="X32" s="109">
        <v>39</v>
      </c>
      <c r="Y32" s="110">
        <v>6900.62</v>
      </c>
      <c r="Z32" s="111">
        <v>8941</v>
      </c>
      <c r="AA32" s="53">
        <v>800</v>
      </c>
      <c r="AB32" s="1">
        <v>600</v>
      </c>
      <c r="AC32" s="1">
        <v>300</v>
      </c>
      <c r="AD32" s="54" t="s">
        <v>1283</v>
      </c>
      <c r="AE32" s="164">
        <f t="shared" si="6"/>
        <v>6555.5889999999999</v>
      </c>
      <c r="AF32" s="205">
        <f t="shared" si="1"/>
        <v>8740.7853333333333</v>
      </c>
      <c r="AG32" s="205">
        <f t="shared" si="2"/>
        <v>8741</v>
      </c>
      <c r="AH32" s="173">
        <f t="shared" si="7"/>
        <v>137667.36900000001</v>
      </c>
      <c r="AI32" s="32">
        <v>1</v>
      </c>
      <c r="AJ32" s="10">
        <f t="shared" si="3"/>
        <v>1.8</v>
      </c>
      <c r="AK32" s="120">
        <f t="shared" si="4"/>
        <v>3641.9938888888887</v>
      </c>
    </row>
    <row r="33" spans="2:38" ht="15.75" thickBot="1">
      <c r="B33" s="30" t="s">
        <v>73</v>
      </c>
      <c r="C33" s="31">
        <v>12212</v>
      </c>
      <c r="D33" s="161">
        <f t="shared" si="5"/>
        <v>9159</v>
      </c>
      <c r="E33" s="32"/>
      <c r="F33" s="10"/>
      <c r="G33" s="85"/>
      <c r="H33" s="13"/>
      <c r="I33" s="89"/>
      <c r="J33" s="10"/>
      <c r="K33" s="140">
        <f t="shared" si="0"/>
        <v>0</v>
      </c>
      <c r="L33" s="10"/>
      <c r="M33" s="10"/>
      <c r="N33" s="85"/>
      <c r="O33" s="95" t="s">
        <v>831</v>
      </c>
      <c r="P33" s="94" t="s">
        <v>832</v>
      </c>
      <c r="Q33" s="99">
        <v>17834.95</v>
      </c>
      <c r="R33" s="109">
        <v>0</v>
      </c>
      <c r="S33" s="110">
        <v>14731.88</v>
      </c>
      <c r="T33" s="149">
        <v>19087</v>
      </c>
      <c r="U33" s="136" t="s">
        <v>880</v>
      </c>
      <c r="V33" s="98" t="s">
        <v>881</v>
      </c>
      <c r="W33" s="99">
        <v>11973.1</v>
      </c>
      <c r="X33" s="109">
        <v>0</v>
      </c>
      <c r="Y33" s="110">
        <v>9889.92</v>
      </c>
      <c r="Z33" s="111">
        <v>12814</v>
      </c>
      <c r="AA33" s="53">
        <v>800</v>
      </c>
      <c r="AB33" s="1">
        <v>800</v>
      </c>
      <c r="AC33" s="1">
        <v>300</v>
      </c>
      <c r="AD33" s="54" t="s">
        <v>1284</v>
      </c>
      <c r="AE33" s="164">
        <f t="shared" si="6"/>
        <v>9395.4239999999991</v>
      </c>
      <c r="AF33" s="205">
        <f t="shared" si="1"/>
        <v>12527.231999999998</v>
      </c>
      <c r="AG33" s="205">
        <f t="shared" si="2"/>
        <v>12527</v>
      </c>
      <c r="AH33" s="173">
        <f t="shared" si="7"/>
        <v>366421.53599999996</v>
      </c>
      <c r="AI33" s="32">
        <v>1</v>
      </c>
      <c r="AJ33" s="10">
        <f t="shared" si="3"/>
        <v>2.2400000000000002</v>
      </c>
      <c r="AK33" s="120">
        <f t="shared" si="4"/>
        <v>4194.3857142857132</v>
      </c>
    </row>
    <row r="34" spans="2:38" ht="15.75" thickBot="1">
      <c r="B34" s="30" t="s">
        <v>72</v>
      </c>
      <c r="C34" s="31">
        <v>13829</v>
      </c>
      <c r="D34" s="161">
        <f t="shared" si="5"/>
        <v>10371.75</v>
      </c>
      <c r="E34" s="32"/>
      <c r="F34" s="10"/>
      <c r="G34" s="85"/>
      <c r="H34" s="13"/>
      <c r="I34" s="89"/>
      <c r="J34" s="10"/>
      <c r="K34" s="140">
        <f t="shared" si="0"/>
        <v>0</v>
      </c>
      <c r="L34" s="10"/>
      <c r="M34" s="10"/>
      <c r="N34" s="85"/>
      <c r="O34" s="95" t="s">
        <v>825</v>
      </c>
      <c r="P34" s="94" t="s">
        <v>826</v>
      </c>
      <c r="Q34" s="99">
        <v>22686.77</v>
      </c>
      <c r="R34" s="109">
        <v>0</v>
      </c>
      <c r="S34" s="110">
        <v>18739.54</v>
      </c>
      <c r="T34" s="149">
        <v>24280</v>
      </c>
      <c r="U34" s="136" t="s">
        <v>886</v>
      </c>
      <c r="V34" s="98" t="s">
        <v>887</v>
      </c>
      <c r="W34" s="99">
        <v>12076.86</v>
      </c>
      <c r="X34" s="109">
        <v>5</v>
      </c>
      <c r="Y34" s="110">
        <v>9975.6299999999992</v>
      </c>
      <c r="Z34" s="111">
        <v>12925</v>
      </c>
      <c r="AA34" s="53">
        <v>800</v>
      </c>
      <c r="AB34" s="1">
        <v>600</v>
      </c>
      <c r="AC34" s="1">
        <v>400</v>
      </c>
      <c r="AD34" s="54" t="s">
        <v>1285</v>
      </c>
      <c r="AE34" s="164">
        <f t="shared" si="6"/>
        <v>9476.8484999999982</v>
      </c>
      <c r="AF34" s="205">
        <f t="shared" si="1"/>
        <v>12635.797999999997</v>
      </c>
      <c r="AG34" s="205">
        <f t="shared" si="2"/>
        <v>12636</v>
      </c>
      <c r="AH34" s="173">
        <f t="shared" si="7"/>
        <v>0</v>
      </c>
      <c r="AI34" s="32">
        <v>1</v>
      </c>
      <c r="AJ34" s="10">
        <f t="shared" si="3"/>
        <v>2.08</v>
      </c>
      <c r="AK34" s="120">
        <f t="shared" si="4"/>
        <v>4556.177163461537</v>
      </c>
    </row>
    <row r="35" spans="2:38" ht="24.75" thickBot="1">
      <c r="B35" s="32"/>
      <c r="C35" s="33"/>
      <c r="D35" s="161">
        <f t="shared" si="5"/>
        <v>0</v>
      </c>
      <c r="E35" s="60" t="s">
        <v>283</v>
      </c>
      <c r="F35" s="13" t="s">
        <v>284</v>
      </c>
      <c r="G35" s="86">
        <v>10177</v>
      </c>
      <c r="H35" s="13"/>
      <c r="I35" s="89"/>
      <c r="J35" s="10"/>
      <c r="K35" s="140">
        <f t="shared" si="0"/>
        <v>0</v>
      </c>
      <c r="L35" s="10"/>
      <c r="M35" s="10"/>
      <c r="N35" s="85"/>
      <c r="O35" s="95" t="s">
        <v>833</v>
      </c>
      <c r="P35" s="94" t="s">
        <v>834</v>
      </c>
      <c r="Q35" s="99">
        <v>25314.84</v>
      </c>
      <c r="R35" s="109">
        <v>0</v>
      </c>
      <c r="S35" s="110">
        <v>20910.36</v>
      </c>
      <c r="T35" s="149">
        <v>27093</v>
      </c>
      <c r="U35" s="136" t="s">
        <v>878</v>
      </c>
      <c r="V35" s="98" t="s">
        <v>879</v>
      </c>
      <c r="W35" s="99">
        <v>13753.09</v>
      </c>
      <c r="X35" s="109">
        <v>8</v>
      </c>
      <c r="Y35" s="110">
        <v>11360.21</v>
      </c>
      <c r="Z35" s="111">
        <v>14719</v>
      </c>
      <c r="AA35" s="53">
        <v>800</v>
      </c>
      <c r="AB35" s="1">
        <v>800</v>
      </c>
      <c r="AC35" s="1">
        <v>400</v>
      </c>
      <c r="AD35" s="54" t="s">
        <v>1286</v>
      </c>
      <c r="AE35" s="164">
        <f t="shared" si="6"/>
        <v>10792.199499999999</v>
      </c>
      <c r="AF35" s="205">
        <f t="shared" si="1"/>
        <v>14389.599333333332</v>
      </c>
      <c r="AG35" s="205">
        <f t="shared" si="2"/>
        <v>14390</v>
      </c>
      <c r="AH35" s="173">
        <f t="shared" si="7"/>
        <v>53960.997499999998</v>
      </c>
      <c r="AI35" s="32">
        <v>1</v>
      </c>
      <c r="AJ35" s="10">
        <f t="shared" si="3"/>
        <v>2.56</v>
      </c>
      <c r="AK35" s="120">
        <f t="shared" si="4"/>
        <v>4215.7029296874998</v>
      </c>
    </row>
    <row r="36" spans="2:38" ht="24.75" thickBot="1">
      <c r="B36" s="30" t="s">
        <v>75</v>
      </c>
      <c r="C36" s="31">
        <v>10991</v>
      </c>
      <c r="D36" s="161">
        <f t="shared" si="5"/>
        <v>8243.25</v>
      </c>
      <c r="E36" s="60" t="s">
        <v>89</v>
      </c>
      <c r="F36" s="13" t="s">
        <v>90</v>
      </c>
      <c r="G36" s="86">
        <v>9159</v>
      </c>
      <c r="H36" s="13">
        <v>1090500</v>
      </c>
      <c r="I36" s="90" t="s">
        <v>719</v>
      </c>
      <c r="J36" s="88">
        <v>183.72</v>
      </c>
      <c r="K36" s="140">
        <f t="shared" ref="K36:K63" si="8">J36*$N$1</f>
        <v>13332.560399999998</v>
      </c>
      <c r="L36" s="109">
        <v>3</v>
      </c>
      <c r="M36" s="141" t="s">
        <v>974</v>
      </c>
      <c r="N36" s="146" t="s">
        <v>975</v>
      </c>
      <c r="O36" s="95" t="s">
        <v>839</v>
      </c>
      <c r="P36" s="94" t="s">
        <v>840</v>
      </c>
      <c r="Q36" s="99">
        <v>16232.42</v>
      </c>
      <c r="R36" s="109">
        <v>0</v>
      </c>
      <c r="S36" s="110">
        <v>13408.17</v>
      </c>
      <c r="T36" s="149">
        <v>17372</v>
      </c>
      <c r="U36" s="136" t="s">
        <v>872</v>
      </c>
      <c r="V36" s="98" t="s">
        <v>873</v>
      </c>
      <c r="W36" s="99">
        <v>10927.84</v>
      </c>
      <c r="X36" s="109">
        <v>1</v>
      </c>
      <c r="Y36" s="110">
        <v>9026.5300000000007</v>
      </c>
      <c r="Z36" s="111">
        <v>11695</v>
      </c>
      <c r="AA36" s="53">
        <v>1000</v>
      </c>
      <c r="AB36" s="1">
        <v>600</v>
      </c>
      <c r="AC36" s="1">
        <v>250</v>
      </c>
      <c r="AD36" s="54" t="s">
        <v>1287</v>
      </c>
      <c r="AE36" s="164">
        <f t="shared" si="6"/>
        <v>8575.2034999999996</v>
      </c>
      <c r="AF36" s="205">
        <f t="shared" si="1"/>
        <v>11433.604666666666</v>
      </c>
      <c r="AG36" s="205">
        <f t="shared" si="2"/>
        <v>11434</v>
      </c>
      <c r="AH36" s="173">
        <f t="shared" si="7"/>
        <v>68601.627999999997</v>
      </c>
      <c r="AI36" s="32">
        <v>1</v>
      </c>
      <c r="AJ36" s="10">
        <f t="shared" si="3"/>
        <v>2</v>
      </c>
      <c r="AK36" s="120">
        <f t="shared" si="4"/>
        <v>4287.6017499999998</v>
      </c>
    </row>
    <row r="37" spans="2:38" ht="24.75" thickBot="1">
      <c r="B37" s="30" t="s">
        <v>76</v>
      </c>
      <c r="C37" s="31">
        <v>11752</v>
      </c>
      <c r="D37" s="161">
        <f t="shared" si="5"/>
        <v>8814</v>
      </c>
      <c r="E37" s="60" t="s">
        <v>91</v>
      </c>
      <c r="F37" s="13" t="s">
        <v>92</v>
      </c>
      <c r="G37" s="86">
        <v>9794</v>
      </c>
      <c r="H37" s="13"/>
      <c r="I37" s="89"/>
      <c r="J37" s="10"/>
      <c r="K37" s="140">
        <f t="shared" si="8"/>
        <v>0</v>
      </c>
      <c r="L37" s="10"/>
      <c r="M37" s="10"/>
      <c r="N37" s="85"/>
      <c r="O37" s="95" t="s">
        <v>835</v>
      </c>
      <c r="P37" s="94" t="s">
        <v>836</v>
      </c>
      <c r="Q37" s="99">
        <v>17114.349999999999</v>
      </c>
      <c r="R37" s="109">
        <v>0</v>
      </c>
      <c r="S37" s="110">
        <v>14136.66</v>
      </c>
      <c r="T37" s="149">
        <v>18316</v>
      </c>
      <c r="U37" s="136" t="s">
        <v>876</v>
      </c>
      <c r="V37" s="98" t="s">
        <v>877</v>
      </c>
      <c r="W37" s="99">
        <v>11952.9</v>
      </c>
      <c r="X37" s="109">
        <v>82</v>
      </c>
      <c r="Y37" s="110">
        <v>9873.24</v>
      </c>
      <c r="Z37" s="111">
        <v>12792</v>
      </c>
      <c r="AA37" s="53">
        <v>1000</v>
      </c>
      <c r="AB37" s="1">
        <v>600</v>
      </c>
      <c r="AC37" s="1">
        <v>300</v>
      </c>
      <c r="AD37" s="54" t="s">
        <v>1288</v>
      </c>
      <c r="AE37" s="164">
        <f t="shared" si="6"/>
        <v>9379.5779999999995</v>
      </c>
      <c r="AF37" s="205">
        <f t="shared" si="1"/>
        <v>12506.103999999999</v>
      </c>
      <c r="AG37" s="205">
        <f t="shared" si="2"/>
        <v>12506</v>
      </c>
      <c r="AH37" s="173">
        <f t="shared" si="7"/>
        <v>9379.5779999999995</v>
      </c>
      <c r="AI37" s="32">
        <v>1</v>
      </c>
      <c r="AJ37" s="10">
        <f t="shared" si="3"/>
        <v>2.16</v>
      </c>
      <c r="AK37" s="120">
        <f t="shared" si="4"/>
        <v>4342.3972222222219</v>
      </c>
    </row>
    <row r="38" spans="2:38" ht="24.75" thickBot="1">
      <c r="B38" s="30" t="s">
        <v>78</v>
      </c>
      <c r="C38" s="31">
        <v>13916</v>
      </c>
      <c r="D38" s="161">
        <f t="shared" si="5"/>
        <v>10437</v>
      </c>
      <c r="E38" s="60" t="s">
        <v>95</v>
      </c>
      <c r="F38" s="13" t="s">
        <v>96</v>
      </c>
      <c r="G38" s="86">
        <v>11597</v>
      </c>
      <c r="H38" s="13">
        <v>1180500</v>
      </c>
      <c r="I38" s="90" t="s">
        <v>724</v>
      </c>
      <c r="J38" s="88">
        <v>210.95</v>
      </c>
      <c r="K38" s="140">
        <f t="shared" si="8"/>
        <v>15308.641499999998</v>
      </c>
      <c r="L38" s="109">
        <v>1</v>
      </c>
      <c r="M38" s="141" t="s">
        <v>983</v>
      </c>
      <c r="N38" s="146" t="s">
        <v>984</v>
      </c>
      <c r="O38" s="95" t="s">
        <v>841</v>
      </c>
      <c r="P38" s="94" t="s">
        <v>842</v>
      </c>
      <c r="Q38" s="99">
        <v>20606.88</v>
      </c>
      <c r="R38" s="109">
        <v>1</v>
      </c>
      <c r="S38" s="110">
        <v>17021.52</v>
      </c>
      <c r="T38" s="149">
        <v>22054</v>
      </c>
      <c r="U38" s="136" t="s">
        <v>870</v>
      </c>
      <c r="V38" s="98" t="s">
        <v>871</v>
      </c>
      <c r="W38" s="99">
        <v>11866.58</v>
      </c>
      <c r="X38" s="109">
        <v>32</v>
      </c>
      <c r="Y38" s="110">
        <v>9801.93</v>
      </c>
      <c r="Z38" s="111">
        <v>12700</v>
      </c>
      <c r="AA38" s="53">
        <v>1000</v>
      </c>
      <c r="AB38" s="1">
        <v>800</v>
      </c>
      <c r="AC38" s="1">
        <v>300</v>
      </c>
      <c r="AD38" s="54" t="s">
        <v>1289</v>
      </c>
      <c r="AE38" s="164">
        <f t="shared" si="6"/>
        <v>9311.8335000000006</v>
      </c>
      <c r="AF38" s="205">
        <f t="shared" si="1"/>
        <v>12415.778</v>
      </c>
      <c r="AG38" s="205">
        <f t="shared" si="2"/>
        <v>12416</v>
      </c>
      <c r="AH38" s="173">
        <f t="shared" si="7"/>
        <v>763570.34700000007</v>
      </c>
      <c r="AI38" s="32">
        <v>1</v>
      </c>
      <c r="AJ38" s="10">
        <f t="shared" si="3"/>
        <v>2.68</v>
      </c>
      <c r="AK38" s="120">
        <f t="shared" si="4"/>
        <v>3474.5647388059701</v>
      </c>
    </row>
    <row r="39" spans="2:38" ht="24.75" thickBot="1">
      <c r="B39" s="30" t="s">
        <v>77</v>
      </c>
      <c r="C39" s="31">
        <v>16713</v>
      </c>
      <c r="D39" s="161">
        <f t="shared" si="5"/>
        <v>12534.75</v>
      </c>
      <c r="E39" s="60" t="s">
        <v>93</v>
      </c>
      <c r="F39" s="13" t="s">
        <v>94</v>
      </c>
      <c r="G39" s="86">
        <v>13928</v>
      </c>
      <c r="H39" s="13"/>
      <c r="I39" s="89"/>
      <c r="J39" s="10"/>
      <c r="K39" s="140">
        <f t="shared" si="8"/>
        <v>0</v>
      </c>
      <c r="L39" s="10"/>
      <c r="M39" s="10"/>
      <c r="N39" s="85"/>
      <c r="O39" s="95" t="s">
        <v>837</v>
      </c>
      <c r="P39" s="94" t="s">
        <v>838</v>
      </c>
      <c r="Q39" s="99">
        <v>23523.85</v>
      </c>
      <c r="R39" s="109">
        <v>0</v>
      </c>
      <c r="S39" s="110">
        <v>19430.98</v>
      </c>
      <c r="T39" s="149">
        <v>25176</v>
      </c>
      <c r="U39" s="136" t="s">
        <v>874</v>
      </c>
      <c r="V39" s="98" t="s">
        <v>875</v>
      </c>
      <c r="W39" s="99">
        <v>14347.09</v>
      </c>
      <c r="X39" s="109">
        <v>7</v>
      </c>
      <c r="Y39" s="110">
        <v>11850.87</v>
      </c>
      <c r="Z39" s="111">
        <v>15355</v>
      </c>
      <c r="AA39" s="53">
        <v>1000</v>
      </c>
      <c r="AB39" s="1">
        <v>600</v>
      </c>
      <c r="AC39" s="1">
        <v>400</v>
      </c>
      <c r="AD39" s="54" t="s">
        <v>1290</v>
      </c>
      <c r="AE39" s="164">
        <f t="shared" si="6"/>
        <v>11258.326500000001</v>
      </c>
      <c r="AF39" s="205">
        <f t="shared" si="1"/>
        <v>15011.102000000001</v>
      </c>
      <c r="AG39" s="205">
        <f t="shared" si="2"/>
        <v>15011</v>
      </c>
      <c r="AH39" s="173">
        <f t="shared" si="7"/>
        <v>360266.44800000003</v>
      </c>
      <c r="AI39" s="32">
        <v>1</v>
      </c>
      <c r="AJ39" s="10">
        <f t="shared" si="3"/>
        <v>2.48</v>
      </c>
      <c r="AK39" s="120">
        <f t="shared" si="4"/>
        <v>4539.6477822580646</v>
      </c>
    </row>
    <row r="40" spans="2:38" ht="15.75" thickBot="1">
      <c r="B40" s="32"/>
      <c r="C40" s="33"/>
      <c r="D40" s="161">
        <f t="shared" si="5"/>
        <v>0</v>
      </c>
      <c r="E40" s="32"/>
      <c r="F40" s="10"/>
      <c r="G40" s="85"/>
      <c r="H40" s="13"/>
      <c r="I40" s="89"/>
      <c r="J40" s="10"/>
      <c r="K40" s="140">
        <f t="shared" si="8"/>
        <v>0</v>
      </c>
      <c r="L40" s="10"/>
      <c r="M40" s="10"/>
      <c r="N40" s="85"/>
      <c r="O40" s="95" t="s">
        <v>843</v>
      </c>
      <c r="P40" s="94" t="s">
        <v>844</v>
      </c>
      <c r="Q40" s="99">
        <v>24928.39</v>
      </c>
      <c r="R40" s="109">
        <v>0</v>
      </c>
      <c r="S40" s="110">
        <v>20591.14</v>
      </c>
      <c r="T40" s="149">
        <v>26679</v>
      </c>
      <c r="U40" s="136" t="s">
        <v>868</v>
      </c>
      <c r="V40" s="98" t="s">
        <v>869</v>
      </c>
      <c r="W40" s="99">
        <v>15038</v>
      </c>
      <c r="X40" s="109">
        <v>4</v>
      </c>
      <c r="Y40" s="110">
        <v>12421.57</v>
      </c>
      <c r="Z40" s="111">
        <v>16094</v>
      </c>
      <c r="AA40" s="53">
        <v>1000</v>
      </c>
      <c r="AB40" s="1">
        <v>800</v>
      </c>
      <c r="AC40" s="1">
        <v>400</v>
      </c>
      <c r="AD40" s="54" t="s">
        <v>1291</v>
      </c>
      <c r="AE40" s="164">
        <f t="shared" si="6"/>
        <v>11800.491499999998</v>
      </c>
      <c r="AF40" s="205">
        <f t="shared" si="1"/>
        <v>15733.988666666664</v>
      </c>
      <c r="AG40" s="205">
        <f t="shared" si="2"/>
        <v>15734</v>
      </c>
      <c r="AH40" s="173">
        <f t="shared" si="7"/>
        <v>82603.440499999982</v>
      </c>
      <c r="AI40" s="32">
        <v>1</v>
      </c>
      <c r="AJ40" s="10">
        <f t="shared" si="3"/>
        <v>3.04</v>
      </c>
      <c r="AK40" s="120">
        <f t="shared" si="4"/>
        <v>3881.7406249999995</v>
      </c>
    </row>
    <row r="41" spans="2:38" ht="24.75" thickBot="1">
      <c r="B41" s="30" t="s">
        <v>79</v>
      </c>
      <c r="C41" s="31">
        <v>12680</v>
      </c>
      <c r="D41" s="161">
        <f t="shared" si="5"/>
        <v>9510</v>
      </c>
      <c r="E41" s="60" t="s">
        <v>97</v>
      </c>
      <c r="F41" s="13" t="s">
        <v>98</v>
      </c>
      <c r="G41" s="86">
        <v>11534</v>
      </c>
      <c r="H41" s="13"/>
      <c r="I41" s="89"/>
      <c r="J41" s="10"/>
      <c r="K41" s="140">
        <f t="shared" si="8"/>
        <v>0</v>
      </c>
      <c r="L41" s="10"/>
      <c r="M41" s="10"/>
      <c r="N41" s="85"/>
      <c r="O41" s="32"/>
      <c r="P41" s="10"/>
      <c r="Q41" s="85"/>
      <c r="R41" s="10"/>
      <c r="S41" s="140"/>
      <c r="T41" s="126"/>
      <c r="U41" s="136" t="s">
        <v>866</v>
      </c>
      <c r="V41" s="98" t="s">
        <v>867</v>
      </c>
      <c r="W41" s="99">
        <v>11629.87</v>
      </c>
      <c r="X41" s="109">
        <v>0</v>
      </c>
      <c r="Y41" s="110">
        <v>9606.42</v>
      </c>
      <c r="Z41" s="111">
        <v>12447</v>
      </c>
      <c r="AA41" s="53">
        <v>1200</v>
      </c>
      <c r="AB41" s="1">
        <v>600</v>
      </c>
      <c r="AC41" s="1">
        <v>200</v>
      </c>
      <c r="AD41" s="54" t="s">
        <v>1292</v>
      </c>
      <c r="AE41" s="164">
        <f t="shared" si="6"/>
        <v>9126.0990000000002</v>
      </c>
      <c r="AF41" s="205">
        <f t="shared" si="1"/>
        <v>12168.132</v>
      </c>
      <c r="AG41" s="205">
        <f t="shared" si="2"/>
        <v>12168</v>
      </c>
      <c r="AH41" s="173">
        <f t="shared" si="7"/>
        <v>36504.396000000001</v>
      </c>
      <c r="AI41" s="32">
        <v>1</v>
      </c>
      <c r="AJ41" s="10">
        <f t="shared" si="3"/>
        <v>2.16</v>
      </c>
      <c r="AK41" s="120">
        <f t="shared" si="4"/>
        <v>4225.0458333333336</v>
      </c>
    </row>
    <row r="42" spans="2:38" ht="24.75" thickBot="1">
      <c r="B42" s="30" t="s">
        <v>80</v>
      </c>
      <c r="C42" s="31">
        <v>14964</v>
      </c>
      <c r="D42" s="161">
        <f t="shared" si="5"/>
        <v>11223</v>
      </c>
      <c r="E42" s="60" t="s">
        <v>99</v>
      </c>
      <c r="F42" s="13" t="s">
        <v>100</v>
      </c>
      <c r="G42" s="86">
        <v>12471</v>
      </c>
      <c r="H42" s="13">
        <v>1260500</v>
      </c>
      <c r="I42" s="90" t="s">
        <v>726</v>
      </c>
      <c r="J42" s="88">
        <v>234.5</v>
      </c>
      <c r="K42" s="140">
        <f t="shared" si="8"/>
        <v>17017.664999999997</v>
      </c>
      <c r="L42" s="109">
        <v>1</v>
      </c>
      <c r="M42" s="141" t="s">
        <v>993</v>
      </c>
      <c r="N42" s="146" t="s">
        <v>994</v>
      </c>
      <c r="O42" s="95" t="s">
        <v>845</v>
      </c>
      <c r="P42" s="94" t="s">
        <v>846</v>
      </c>
      <c r="Q42" s="99">
        <v>20933.23</v>
      </c>
      <c r="R42" s="109">
        <v>0</v>
      </c>
      <c r="S42" s="110">
        <v>17291.09</v>
      </c>
      <c r="T42" s="149">
        <v>22403</v>
      </c>
      <c r="U42" s="136" t="s">
        <v>864</v>
      </c>
      <c r="V42" s="98" t="s">
        <v>865</v>
      </c>
      <c r="W42" s="99">
        <v>13581.47</v>
      </c>
      <c r="X42" s="109">
        <v>19</v>
      </c>
      <c r="Y42" s="110">
        <v>11218.45</v>
      </c>
      <c r="Z42" s="111">
        <v>14535</v>
      </c>
      <c r="AA42" s="53">
        <v>1200</v>
      </c>
      <c r="AB42" s="1">
        <v>600</v>
      </c>
      <c r="AC42" s="1">
        <v>300</v>
      </c>
      <c r="AD42" s="54" t="s">
        <v>1293</v>
      </c>
      <c r="AE42" s="164">
        <f t="shared" si="6"/>
        <v>10657.5275</v>
      </c>
      <c r="AF42" s="205">
        <f t="shared" si="1"/>
        <v>14210.036666666667</v>
      </c>
      <c r="AG42" s="205">
        <f t="shared" si="2"/>
        <v>14210</v>
      </c>
      <c r="AH42" s="173">
        <f t="shared" si="7"/>
        <v>0</v>
      </c>
      <c r="AI42" s="32">
        <v>1</v>
      </c>
      <c r="AJ42" s="10">
        <f t="shared" si="3"/>
        <v>2.52</v>
      </c>
      <c r="AK42" s="120">
        <f t="shared" si="4"/>
        <v>4229.1775793650795</v>
      </c>
    </row>
    <row r="43" spans="2:38" ht="24.75" thickBot="1">
      <c r="B43" s="30" t="s">
        <v>82</v>
      </c>
      <c r="C43" s="31">
        <v>17177</v>
      </c>
      <c r="D43" s="161">
        <f t="shared" si="5"/>
        <v>12882.75</v>
      </c>
      <c r="E43" s="60" t="s">
        <v>103</v>
      </c>
      <c r="F43" s="13" t="s">
        <v>104</v>
      </c>
      <c r="G43" s="86">
        <v>14315</v>
      </c>
      <c r="H43" s="13">
        <v>1280500</v>
      </c>
      <c r="I43" s="90" t="s">
        <v>727</v>
      </c>
      <c r="J43" s="88">
        <v>268.56</v>
      </c>
      <c r="K43" s="140">
        <f t="shared" si="8"/>
        <v>19489.3992</v>
      </c>
      <c r="L43" s="109">
        <v>0</v>
      </c>
      <c r="M43" s="141" t="s">
        <v>1029</v>
      </c>
      <c r="N43" s="146" t="s">
        <v>1030</v>
      </c>
      <c r="O43" s="95" t="s">
        <v>847</v>
      </c>
      <c r="P43" s="94" t="s">
        <v>848</v>
      </c>
      <c r="Q43" s="99">
        <v>24027.24</v>
      </c>
      <c r="R43" s="109">
        <v>0</v>
      </c>
      <c r="S43" s="110">
        <v>19846.79</v>
      </c>
      <c r="T43" s="149">
        <v>25715</v>
      </c>
      <c r="U43" s="136" t="s">
        <v>860</v>
      </c>
      <c r="V43" s="98" t="s">
        <v>861</v>
      </c>
      <c r="W43" s="99">
        <v>15753.63</v>
      </c>
      <c r="X43" s="109">
        <v>37</v>
      </c>
      <c r="Y43" s="110">
        <v>13012.69</v>
      </c>
      <c r="Z43" s="111">
        <v>16860</v>
      </c>
      <c r="AA43" s="53">
        <v>1200</v>
      </c>
      <c r="AB43" s="1">
        <v>800</v>
      </c>
      <c r="AC43" s="1">
        <v>300</v>
      </c>
      <c r="AD43" s="54" t="s">
        <v>1294</v>
      </c>
      <c r="AE43" s="164">
        <f t="shared" si="6"/>
        <v>12362.0555</v>
      </c>
      <c r="AF43" s="205">
        <f t="shared" si="1"/>
        <v>16482.740666666668</v>
      </c>
      <c r="AG43" s="205">
        <f t="shared" si="2"/>
        <v>16483</v>
      </c>
      <c r="AH43" s="173">
        <f t="shared" si="7"/>
        <v>234879.0545</v>
      </c>
      <c r="AI43" s="32">
        <v>1</v>
      </c>
      <c r="AJ43" s="10">
        <f t="shared" si="3"/>
        <v>3.12</v>
      </c>
      <c r="AK43" s="120">
        <f t="shared" si="4"/>
        <v>3962.1972756410255</v>
      </c>
    </row>
    <row r="44" spans="2:38" ht="24">
      <c r="B44" s="30" t="s">
        <v>81</v>
      </c>
      <c r="C44" s="31">
        <v>18774</v>
      </c>
      <c r="D44" s="161">
        <f t="shared" si="5"/>
        <v>14080.5</v>
      </c>
      <c r="E44" s="60" t="s">
        <v>101</v>
      </c>
      <c r="F44" s="13" t="s">
        <v>102</v>
      </c>
      <c r="G44" s="86">
        <v>15647</v>
      </c>
      <c r="H44" s="13"/>
      <c r="I44" s="89"/>
      <c r="J44" s="10"/>
      <c r="K44" s="140">
        <f t="shared" si="8"/>
        <v>0</v>
      </c>
      <c r="L44" s="10"/>
      <c r="M44" s="10"/>
      <c r="N44" s="85"/>
      <c r="O44" s="32"/>
      <c r="P44" s="10"/>
      <c r="Q44" s="85"/>
      <c r="R44" s="10"/>
      <c r="S44" s="140"/>
      <c r="T44" s="126"/>
      <c r="U44" s="136" t="s">
        <v>862</v>
      </c>
      <c r="V44" s="98" t="s">
        <v>863</v>
      </c>
      <c r="W44" s="99">
        <v>16982.669999999998</v>
      </c>
      <c r="X44" s="109">
        <v>0</v>
      </c>
      <c r="Y44" s="110">
        <v>14027.89</v>
      </c>
      <c r="Z44" s="111">
        <v>18175</v>
      </c>
      <c r="AA44" s="53">
        <v>1200</v>
      </c>
      <c r="AB44" s="1">
        <v>600</v>
      </c>
      <c r="AC44" s="1">
        <v>400</v>
      </c>
      <c r="AD44" s="54" t="s">
        <v>1295</v>
      </c>
      <c r="AE44" s="164">
        <f t="shared" si="6"/>
        <v>13326.495499999999</v>
      </c>
      <c r="AF44" s="205">
        <f t="shared" si="1"/>
        <v>17768.660666666667</v>
      </c>
      <c r="AG44" s="205">
        <f t="shared" si="2"/>
        <v>17769</v>
      </c>
      <c r="AH44" s="173"/>
      <c r="AI44" s="32">
        <v>1</v>
      </c>
      <c r="AJ44" s="10">
        <f t="shared" si="3"/>
        <v>2.88</v>
      </c>
      <c r="AK44" s="120">
        <f t="shared" si="4"/>
        <v>4627.2553819444447</v>
      </c>
    </row>
    <row r="45" spans="2:38" ht="24.75" thickBot="1">
      <c r="B45" s="30" t="s">
        <v>83</v>
      </c>
      <c r="C45" s="31">
        <v>23356</v>
      </c>
      <c r="D45" s="161">
        <f t="shared" si="5"/>
        <v>17517</v>
      </c>
      <c r="E45" s="60" t="s">
        <v>105</v>
      </c>
      <c r="F45" s="13" t="s">
        <v>106</v>
      </c>
      <c r="G45" s="86">
        <v>19464</v>
      </c>
      <c r="H45" s="13"/>
      <c r="I45" s="89"/>
      <c r="J45" s="10"/>
      <c r="K45" s="140">
        <f t="shared" si="8"/>
        <v>0</v>
      </c>
      <c r="L45" s="10"/>
      <c r="M45" s="10"/>
      <c r="N45" s="85"/>
      <c r="O45" s="32"/>
      <c r="P45" s="10"/>
      <c r="Q45" s="85"/>
      <c r="R45" s="10"/>
      <c r="S45" s="140"/>
      <c r="T45" s="126"/>
      <c r="U45" s="136" t="s">
        <v>858</v>
      </c>
      <c r="V45" s="98" t="s">
        <v>859</v>
      </c>
      <c r="W45" s="99">
        <v>21354.28</v>
      </c>
      <c r="X45" s="109">
        <v>4</v>
      </c>
      <c r="Y45" s="110">
        <v>17638.89</v>
      </c>
      <c r="Z45" s="111">
        <v>22854</v>
      </c>
      <c r="AA45" s="53">
        <v>1200</v>
      </c>
      <c r="AB45" s="1">
        <v>800</v>
      </c>
      <c r="AC45" s="1">
        <v>400</v>
      </c>
      <c r="AD45" s="54" t="s">
        <v>1296</v>
      </c>
      <c r="AE45" s="164">
        <f t="shared" si="6"/>
        <v>16756.945499999998</v>
      </c>
      <c r="AF45" s="205">
        <f t="shared" si="1"/>
        <v>22342.593999999997</v>
      </c>
      <c r="AG45" s="205">
        <f t="shared" si="2"/>
        <v>22343</v>
      </c>
      <c r="AH45" s="173">
        <f>X44*AE45</f>
        <v>0</v>
      </c>
      <c r="AI45" s="32">
        <v>1</v>
      </c>
      <c r="AJ45" s="10">
        <f t="shared" si="3"/>
        <v>3.52</v>
      </c>
      <c r="AK45" s="120">
        <f t="shared" si="4"/>
        <v>4760.4958806818177</v>
      </c>
      <c r="AL45" s="187">
        <v>10547.242750000001</v>
      </c>
    </row>
    <row r="46" spans="2:38" ht="24.75" thickBot="1">
      <c r="B46" s="30" t="s">
        <v>84</v>
      </c>
      <c r="C46" s="31">
        <v>22603</v>
      </c>
      <c r="D46" s="161">
        <f t="shared" si="5"/>
        <v>16952.25</v>
      </c>
      <c r="E46" s="60" t="s">
        <v>107</v>
      </c>
      <c r="F46" s="13" t="s">
        <v>108</v>
      </c>
      <c r="G46" s="86">
        <v>18837</v>
      </c>
      <c r="H46" s="13"/>
      <c r="I46" s="89"/>
      <c r="J46" s="10"/>
      <c r="K46" s="140">
        <f t="shared" si="8"/>
        <v>0</v>
      </c>
      <c r="L46" s="10"/>
      <c r="M46" s="10"/>
      <c r="N46" s="85"/>
      <c r="O46" s="95" t="s">
        <v>849</v>
      </c>
      <c r="P46" s="94" t="s">
        <v>850</v>
      </c>
      <c r="Q46" s="99">
        <v>22816.83</v>
      </c>
      <c r="R46" s="109">
        <v>0</v>
      </c>
      <c r="S46" s="110">
        <v>18846.97</v>
      </c>
      <c r="T46" s="149">
        <v>24419</v>
      </c>
      <c r="U46" s="136" t="s">
        <v>856</v>
      </c>
      <c r="V46" s="98" t="s">
        <v>857</v>
      </c>
      <c r="W46" s="99">
        <v>18947.97</v>
      </c>
      <c r="X46" s="109">
        <v>0</v>
      </c>
      <c r="Y46" s="110">
        <v>15651.25</v>
      </c>
      <c r="Z46" s="111">
        <v>20279</v>
      </c>
      <c r="AA46" s="53">
        <v>1400</v>
      </c>
      <c r="AB46" s="1">
        <v>600</v>
      </c>
      <c r="AC46" s="1">
        <v>300</v>
      </c>
      <c r="AD46" s="54" t="s">
        <v>1297</v>
      </c>
      <c r="AE46" s="164">
        <f t="shared" si="6"/>
        <v>14868.6875</v>
      </c>
      <c r="AF46" s="205">
        <f t="shared" si="1"/>
        <v>19824.916666666668</v>
      </c>
      <c r="AG46" s="205">
        <f t="shared" si="2"/>
        <v>19825</v>
      </c>
      <c r="AH46" s="173">
        <f>X45*AE46</f>
        <v>59474.75</v>
      </c>
      <c r="AI46" s="32">
        <v>1</v>
      </c>
      <c r="AJ46" s="10">
        <f t="shared" si="3"/>
        <v>2.88</v>
      </c>
      <c r="AK46" s="120">
        <f t="shared" si="4"/>
        <v>5162.7387152777783</v>
      </c>
    </row>
    <row r="47" spans="2:38" ht="24.75" thickBot="1">
      <c r="B47" s="58" t="s">
        <v>85</v>
      </c>
      <c r="C47" s="59">
        <v>27721</v>
      </c>
      <c r="D47" s="161">
        <f t="shared" si="5"/>
        <v>20790.75</v>
      </c>
      <c r="E47" s="62" t="s">
        <v>109</v>
      </c>
      <c r="F47" s="63" t="s">
        <v>110</v>
      </c>
      <c r="G47" s="87">
        <v>23102</v>
      </c>
      <c r="H47" s="13"/>
      <c r="I47" s="91"/>
      <c r="J47" s="77"/>
      <c r="K47" s="140">
        <f t="shared" si="8"/>
        <v>0</v>
      </c>
      <c r="L47" s="10"/>
      <c r="M47" s="10"/>
      <c r="N47" s="85"/>
      <c r="O47" s="96" t="s">
        <v>851</v>
      </c>
      <c r="P47" s="97" t="s">
        <v>852</v>
      </c>
      <c r="Q47" s="100">
        <v>28782.639999999999</v>
      </c>
      <c r="R47" s="153">
        <v>0</v>
      </c>
      <c r="S47" s="154">
        <v>23774.81</v>
      </c>
      <c r="T47" s="127">
        <v>30804</v>
      </c>
      <c r="U47" s="137" t="s">
        <v>854</v>
      </c>
      <c r="V47" s="101" t="s">
        <v>855</v>
      </c>
      <c r="W47" s="100">
        <v>21399.26</v>
      </c>
      <c r="X47" s="121">
        <v>6</v>
      </c>
      <c r="Y47" s="122">
        <v>17676.05</v>
      </c>
      <c r="Z47" s="123">
        <v>22902</v>
      </c>
      <c r="AA47" s="53">
        <v>1400</v>
      </c>
      <c r="AB47" s="1">
        <v>800</v>
      </c>
      <c r="AC47" s="1">
        <v>300</v>
      </c>
      <c r="AD47" s="54" t="s">
        <v>1298</v>
      </c>
      <c r="AE47" s="164">
        <f t="shared" si="6"/>
        <v>16792.247499999998</v>
      </c>
      <c r="AF47" s="205">
        <f t="shared" si="1"/>
        <v>22389.66333333333</v>
      </c>
      <c r="AG47" s="205">
        <f t="shared" si="2"/>
        <v>22390</v>
      </c>
      <c r="AH47" s="173">
        <f>X46*AE47</f>
        <v>0</v>
      </c>
      <c r="AI47" s="32">
        <v>1</v>
      </c>
      <c r="AJ47" s="10">
        <f t="shared" si="3"/>
        <v>3.56</v>
      </c>
      <c r="AK47" s="120">
        <f t="shared" si="4"/>
        <v>4716.9234550561787</v>
      </c>
    </row>
    <row r="48" spans="2:38">
      <c r="B48" s="44"/>
      <c r="C48" s="45"/>
      <c r="D48" s="45"/>
      <c r="E48" s="46"/>
      <c r="F48" s="47"/>
      <c r="G48" s="48"/>
      <c r="H48" s="13">
        <v>1032500</v>
      </c>
      <c r="I48" s="92" t="s">
        <v>701</v>
      </c>
      <c r="J48" s="84">
        <v>41.22</v>
      </c>
      <c r="K48" s="104">
        <f t="shared" si="8"/>
        <v>2991.3353999999995</v>
      </c>
      <c r="AA48" s="43"/>
      <c r="AB48" s="43"/>
      <c r="AC48" s="43"/>
      <c r="AD48" s="43"/>
    </row>
    <row r="49" spans="2:34">
      <c r="H49" s="13">
        <v>1033500</v>
      </c>
      <c r="I49" s="92" t="s">
        <v>702</v>
      </c>
      <c r="J49" s="84">
        <v>60.98</v>
      </c>
      <c r="K49" s="104">
        <f t="shared" si="8"/>
        <v>4425.3185999999996</v>
      </c>
      <c r="AH49" s="105">
        <f ca="1">SUM(AH5:AH53)</f>
        <v>4411438.3444999997</v>
      </c>
    </row>
    <row r="50" spans="2:34">
      <c r="B50" s="2" t="s">
        <v>74</v>
      </c>
      <c r="C50" s="3">
        <v>10582</v>
      </c>
      <c r="D50" s="45"/>
      <c r="H50" s="13">
        <v>1037500</v>
      </c>
      <c r="I50" s="92" t="s">
        <v>706</v>
      </c>
      <c r="J50" s="84">
        <v>174.87</v>
      </c>
      <c r="K50" s="104">
        <f t="shared" si="8"/>
        <v>12690.3159</v>
      </c>
    </row>
    <row r="51" spans="2:34">
      <c r="H51" s="13">
        <v>1055500</v>
      </c>
      <c r="I51" s="92" t="s">
        <v>712</v>
      </c>
      <c r="J51" s="84">
        <v>211.5</v>
      </c>
      <c r="K51" s="104">
        <f t="shared" si="8"/>
        <v>15348.554999999998</v>
      </c>
    </row>
    <row r="52" spans="2:34">
      <c r="H52" s="13">
        <v>1060500</v>
      </c>
      <c r="I52" s="92" t="s">
        <v>715</v>
      </c>
      <c r="J52" s="84">
        <v>105.72</v>
      </c>
      <c r="K52" s="104">
        <f t="shared" si="8"/>
        <v>7672.1003999999994</v>
      </c>
    </row>
    <row r="53" spans="2:34" ht="24">
      <c r="B53" s="2" t="s">
        <v>86</v>
      </c>
      <c r="C53" s="3">
        <v>25948</v>
      </c>
      <c r="D53" s="45"/>
      <c r="E53" s="4" t="s">
        <v>111</v>
      </c>
      <c r="F53" s="5" t="s">
        <v>112</v>
      </c>
      <c r="G53" s="6">
        <v>21625</v>
      </c>
      <c r="H53" s="13">
        <v>1073500</v>
      </c>
      <c r="I53" s="92" t="s">
        <v>716</v>
      </c>
      <c r="J53" s="84">
        <v>186.29</v>
      </c>
      <c r="K53" s="104">
        <f t="shared" si="8"/>
        <v>13519.065299999998</v>
      </c>
    </row>
    <row r="54" spans="2:34">
      <c r="H54" s="13">
        <v>1076500</v>
      </c>
      <c r="I54" s="92" t="s">
        <v>717</v>
      </c>
      <c r="J54" s="84">
        <v>134.57999999999998</v>
      </c>
      <c r="K54" s="104">
        <f t="shared" si="8"/>
        <v>9766.4705999999987</v>
      </c>
    </row>
    <row r="55" spans="2:34" ht="25.5">
      <c r="E55" s="8"/>
      <c r="F55" s="7" t="s">
        <v>88</v>
      </c>
      <c r="G55" s="6"/>
      <c r="H55" s="13">
        <v>1077500</v>
      </c>
      <c r="I55" s="92" t="s">
        <v>718</v>
      </c>
      <c r="J55" s="84">
        <v>174.89999999999998</v>
      </c>
      <c r="K55" s="104">
        <f t="shared" si="8"/>
        <v>12692.492999999997</v>
      </c>
    </row>
    <row r="56" spans="2:34" ht="24">
      <c r="E56" s="9" t="s">
        <v>113</v>
      </c>
      <c r="F56" s="5" t="s">
        <v>114</v>
      </c>
      <c r="G56" s="6">
        <v>2060</v>
      </c>
      <c r="H56" s="13">
        <v>1100500</v>
      </c>
      <c r="I56" s="92" t="s">
        <v>720</v>
      </c>
      <c r="J56" s="84">
        <v>286.52</v>
      </c>
      <c r="K56" s="104">
        <f t="shared" si="8"/>
        <v>20792.756399999998</v>
      </c>
    </row>
    <row r="57" spans="2:34" ht="24">
      <c r="E57" s="9" t="s">
        <v>115</v>
      </c>
      <c r="F57" s="5" t="s">
        <v>116</v>
      </c>
      <c r="G57" s="6">
        <v>2158</v>
      </c>
      <c r="H57" s="13">
        <v>1110500</v>
      </c>
      <c r="I57" s="92" t="s">
        <v>721</v>
      </c>
      <c r="J57" s="84">
        <v>308.45</v>
      </c>
      <c r="K57" s="104">
        <f t="shared" si="8"/>
        <v>22384.216499999999</v>
      </c>
    </row>
    <row r="58" spans="2:34" ht="24">
      <c r="E58" s="9" t="s">
        <v>117</v>
      </c>
      <c r="F58" s="5" t="s">
        <v>118</v>
      </c>
      <c r="G58" s="6">
        <v>2191</v>
      </c>
      <c r="H58" s="13">
        <v>1114500</v>
      </c>
      <c r="I58" s="92" t="s">
        <v>722</v>
      </c>
      <c r="J58" s="84">
        <v>454.19</v>
      </c>
      <c r="K58" s="104">
        <f t="shared" si="8"/>
        <v>32960.568299999999</v>
      </c>
    </row>
    <row r="59" spans="2:34" ht="24">
      <c r="E59" s="9" t="s">
        <v>119</v>
      </c>
      <c r="F59" s="5" t="s">
        <v>120</v>
      </c>
      <c r="G59" s="6">
        <v>2202</v>
      </c>
      <c r="H59" s="13">
        <v>1130500</v>
      </c>
      <c r="I59" s="92" t="s">
        <v>723</v>
      </c>
      <c r="J59" s="84">
        <v>282.95999999999998</v>
      </c>
      <c r="K59" s="104">
        <f t="shared" si="8"/>
        <v>20534.407199999998</v>
      </c>
    </row>
    <row r="60" spans="2:34" ht="24">
      <c r="E60" s="9" t="s">
        <v>121</v>
      </c>
      <c r="F60" s="5" t="s">
        <v>122</v>
      </c>
      <c r="G60" s="6">
        <v>2269</v>
      </c>
      <c r="H60" s="13">
        <v>1213500</v>
      </c>
      <c r="I60" s="92" t="s">
        <v>725</v>
      </c>
      <c r="J60" s="84">
        <v>377.19</v>
      </c>
      <c r="K60" s="104">
        <f t="shared" si="8"/>
        <v>27372.678299999996</v>
      </c>
    </row>
    <row r="61" spans="2:34" ht="24">
      <c r="E61" s="9" t="s">
        <v>123</v>
      </c>
      <c r="F61" s="5" t="s">
        <v>124</v>
      </c>
      <c r="G61" s="6">
        <v>2315</v>
      </c>
      <c r="H61" s="13">
        <v>1338500</v>
      </c>
      <c r="I61" s="92" t="s">
        <v>728</v>
      </c>
      <c r="J61" s="84">
        <v>137.92999999999998</v>
      </c>
      <c r="K61" s="104">
        <f t="shared" si="8"/>
        <v>10009.580099999997</v>
      </c>
    </row>
    <row r="62" spans="2:34" ht="24">
      <c r="E62" s="9" t="s">
        <v>125</v>
      </c>
      <c r="F62" s="5" t="s">
        <v>126</v>
      </c>
      <c r="G62" s="6">
        <v>2379</v>
      </c>
      <c r="H62" s="13">
        <v>1339500</v>
      </c>
      <c r="I62" s="92" t="s">
        <v>729</v>
      </c>
      <c r="J62" s="84">
        <v>143.82</v>
      </c>
      <c r="K62" s="104">
        <f t="shared" si="8"/>
        <v>10437.017399999999</v>
      </c>
    </row>
    <row r="63" spans="2:34" ht="24">
      <c r="E63" s="9" t="s">
        <v>127</v>
      </c>
      <c r="F63" s="5" t="s">
        <v>128</v>
      </c>
      <c r="G63" s="6">
        <v>2367</v>
      </c>
      <c r="H63" s="13">
        <v>1376500</v>
      </c>
      <c r="I63" s="92" t="s">
        <v>732</v>
      </c>
      <c r="J63" s="84">
        <v>190.78</v>
      </c>
      <c r="K63" s="104">
        <f t="shared" si="8"/>
        <v>13844.904599999998</v>
      </c>
    </row>
    <row r="64" spans="2:34" ht="24">
      <c r="E64" s="9" t="s">
        <v>129</v>
      </c>
      <c r="F64" s="5" t="s">
        <v>130</v>
      </c>
      <c r="G64" s="6">
        <v>2423</v>
      </c>
    </row>
    <row r="65" spans="5:7" ht="24">
      <c r="E65" s="9" t="s">
        <v>131</v>
      </c>
      <c r="F65" s="5" t="s">
        <v>132</v>
      </c>
      <c r="G65" s="6">
        <v>2477</v>
      </c>
    </row>
    <row r="66" spans="5:7" ht="24">
      <c r="E66" s="9" t="s">
        <v>133</v>
      </c>
      <c r="F66" s="5" t="s">
        <v>134</v>
      </c>
      <c r="G66" s="6">
        <v>2465</v>
      </c>
    </row>
    <row r="67" spans="5:7" ht="24">
      <c r="E67" s="9" t="s">
        <v>135</v>
      </c>
      <c r="F67" s="5" t="s">
        <v>136</v>
      </c>
      <c r="G67" s="6">
        <v>2536</v>
      </c>
    </row>
    <row r="68" spans="5:7" ht="24">
      <c r="E68" s="9" t="s">
        <v>137</v>
      </c>
      <c r="F68" s="5" t="s">
        <v>138</v>
      </c>
      <c r="G68" s="6">
        <v>2588</v>
      </c>
    </row>
    <row r="70" spans="5:7" ht="24">
      <c r="E70" s="9" t="s">
        <v>141</v>
      </c>
      <c r="F70" s="5" t="s">
        <v>142</v>
      </c>
      <c r="G70" s="6">
        <v>2746</v>
      </c>
    </row>
    <row r="71" spans="5:7" ht="24">
      <c r="E71" s="9" t="s">
        <v>143</v>
      </c>
      <c r="F71" s="5" t="s">
        <v>144</v>
      </c>
      <c r="G71" s="6">
        <v>2841</v>
      </c>
    </row>
    <row r="73" spans="5:7" ht="24">
      <c r="E73" s="9" t="s">
        <v>147</v>
      </c>
      <c r="F73" s="5" t="s">
        <v>148</v>
      </c>
      <c r="G73" s="6">
        <v>2977</v>
      </c>
    </row>
    <row r="74" spans="5:7" ht="24">
      <c r="E74" s="9" t="s">
        <v>149</v>
      </c>
      <c r="F74" s="5" t="s">
        <v>150</v>
      </c>
      <c r="G74" s="6">
        <v>3029</v>
      </c>
    </row>
    <row r="75" spans="5:7" ht="24">
      <c r="E75" s="9" t="s">
        <v>151</v>
      </c>
      <c r="F75" s="5" t="s">
        <v>152</v>
      </c>
      <c r="G75" s="6">
        <v>3041</v>
      </c>
    </row>
    <row r="76" spans="5:7" ht="24">
      <c r="E76" s="9" t="s">
        <v>153</v>
      </c>
      <c r="F76" s="5" t="s">
        <v>154</v>
      </c>
      <c r="G76" s="6">
        <v>3078</v>
      </c>
    </row>
    <row r="77" spans="5:7" ht="24">
      <c r="E77" s="9" t="s">
        <v>155</v>
      </c>
      <c r="F77" s="5" t="s">
        <v>156</v>
      </c>
      <c r="G77" s="6">
        <v>3151</v>
      </c>
    </row>
    <row r="80" spans="5:7" ht="24">
      <c r="E80" s="9" t="s">
        <v>161</v>
      </c>
      <c r="F80" s="5" t="s">
        <v>162</v>
      </c>
      <c r="G80" s="6">
        <v>3103</v>
      </c>
    </row>
    <row r="83" spans="5:7" ht="24">
      <c r="E83" s="9" t="s">
        <v>167</v>
      </c>
      <c r="F83" s="5" t="s">
        <v>168</v>
      </c>
      <c r="G83" s="6">
        <v>3491</v>
      </c>
    </row>
    <row r="84" spans="5:7" ht="24">
      <c r="E84" s="9" t="s">
        <v>169</v>
      </c>
      <c r="F84" s="5" t="s">
        <v>170</v>
      </c>
      <c r="G84" s="6">
        <v>3459</v>
      </c>
    </row>
    <row r="85" spans="5:7" ht="24">
      <c r="E85" s="9" t="s">
        <v>171</v>
      </c>
      <c r="F85" s="5" t="s">
        <v>172</v>
      </c>
      <c r="G85" s="6">
        <v>3565</v>
      </c>
    </row>
    <row r="86" spans="5:7" ht="24">
      <c r="E86" s="9" t="s">
        <v>173</v>
      </c>
      <c r="F86" s="5" t="s">
        <v>174</v>
      </c>
      <c r="G86" s="6">
        <v>3641</v>
      </c>
    </row>
    <row r="87" spans="5:7" ht="24">
      <c r="E87" s="9" t="s">
        <v>175</v>
      </c>
      <c r="F87" s="5" t="s">
        <v>176</v>
      </c>
      <c r="G87" s="6">
        <v>3517</v>
      </c>
    </row>
    <row r="89" spans="5:7" ht="24">
      <c r="E89" s="9" t="s">
        <v>179</v>
      </c>
      <c r="F89" s="5" t="s">
        <v>180</v>
      </c>
      <c r="G89" s="6">
        <v>3957</v>
      </c>
    </row>
    <row r="90" spans="5:7" ht="24">
      <c r="E90" s="9" t="s">
        <v>181</v>
      </c>
      <c r="F90" s="5" t="s">
        <v>182</v>
      </c>
      <c r="G90" s="6">
        <v>4444</v>
      </c>
    </row>
    <row r="92" spans="5:7" ht="24">
      <c r="E92" s="9" t="s">
        <v>185</v>
      </c>
      <c r="F92" s="5" t="s">
        <v>186</v>
      </c>
      <c r="G92" s="6">
        <v>4616</v>
      </c>
    </row>
    <row r="93" spans="5:7" ht="24">
      <c r="E93" s="9" t="s">
        <v>187</v>
      </c>
      <c r="F93" s="5" t="s">
        <v>188</v>
      </c>
      <c r="G93" s="6">
        <v>3565</v>
      </c>
    </row>
    <row r="94" spans="5:7" ht="24">
      <c r="E94" s="9" t="s">
        <v>189</v>
      </c>
      <c r="F94" s="5" t="s">
        <v>190</v>
      </c>
      <c r="G94" s="6">
        <v>3780</v>
      </c>
    </row>
    <row r="95" spans="5:7" ht="24">
      <c r="E95" s="9" t="s">
        <v>191</v>
      </c>
      <c r="F95" s="5" t="s">
        <v>192</v>
      </c>
      <c r="G95" s="6">
        <v>3994</v>
      </c>
    </row>
    <row r="96" spans="5:7" ht="24">
      <c r="E96" s="9" t="s">
        <v>193</v>
      </c>
      <c r="F96" s="5" t="s">
        <v>194</v>
      </c>
      <c r="G96" s="6">
        <v>3753</v>
      </c>
    </row>
    <row r="97" spans="5:7" ht="24">
      <c r="E97" s="9" t="s">
        <v>195</v>
      </c>
      <c r="F97" s="5" t="s">
        <v>196</v>
      </c>
      <c r="G97" s="6">
        <v>3820</v>
      </c>
    </row>
    <row r="98" spans="5:7" ht="24">
      <c r="E98" s="9" t="s">
        <v>197</v>
      </c>
      <c r="F98" s="5" t="s">
        <v>198</v>
      </c>
      <c r="G98" s="6">
        <v>3901</v>
      </c>
    </row>
    <row r="99" spans="5:7" ht="24">
      <c r="E99" s="9" t="s">
        <v>199</v>
      </c>
      <c r="F99" s="5" t="s">
        <v>200</v>
      </c>
      <c r="G99" s="6">
        <v>3927</v>
      </c>
    </row>
    <row r="100" spans="5:7">
      <c r="E100" s="46"/>
      <c r="F100" s="47"/>
      <c r="G100" s="48"/>
    </row>
    <row r="101" spans="5:7" ht="24">
      <c r="E101" s="49" t="s">
        <v>201</v>
      </c>
      <c r="F101" s="50" t="s">
        <v>202</v>
      </c>
      <c r="G101" s="51">
        <v>4039</v>
      </c>
    </row>
    <row r="102" spans="5:7" ht="24">
      <c r="E102" s="4" t="s">
        <v>203</v>
      </c>
      <c r="F102" s="5" t="s">
        <v>204</v>
      </c>
      <c r="G102" s="6">
        <v>4148</v>
      </c>
    </row>
    <row r="105" spans="5:7" ht="24">
      <c r="E105" s="4" t="s">
        <v>209</v>
      </c>
      <c r="F105" s="5" t="s">
        <v>210</v>
      </c>
      <c r="G105" s="6">
        <v>4149</v>
      </c>
    </row>
    <row r="106" spans="5:7" ht="24">
      <c r="E106" s="4" t="s">
        <v>211</v>
      </c>
      <c r="F106" s="5" t="s">
        <v>212</v>
      </c>
      <c r="G106" s="6">
        <v>4215</v>
      </c>
    </row>
    <row r="107" spans="5:7" ht="24">
      <c r="E107" s="4" t="s">
        <v>213</v>
      </c>
      <c r="F107" s="5" t="s">
        <v>214</v>
      </c>
      <c r="G107" s="6">
        <v>4292</v>
      </c>
    </row>
    <row r="108" spans="5:7" ht="24">
      <c r="E108" s="4" t="s">
        <v>215</v>
      </c>
      <c r="F108" s="5" t="s">
        <v>216</v>
      </c>
      <c r="G108" s="6">
        <v>4335</v>
      </c>
    </row>
    <row r="109" spans="5:7" ht="24">
      <c r="E109" s="4" t="s">
        <v>217</v>
      </c>
      <c r="F109" s="5" t="s">
        <v>218</v>
      </c>
      <c r="G109" s="6">
        <v>4261</v>
      </c>
    </row>
    <row r="112" spans="5:7" ht="24">
      <c r="E112" s="4" t="s">
        <v>223</v>
      </c>
      <c r="F112" s="5" t="s">
        <v>224</v>
      </c>
      <c r="G112" s="6">
        <v>5129</v>
      </c>
    </row>
    <row r="113" spans="5:7" ht="24">
      <c r="E113" s="4" t="s">
        <v>225</v>
      </c>
      <c r="F113" s="5" t="s">
        <v>226</v>
      </c>
      <c r="G113" s="6">
        <v>4769</v>
      </c>
    </row>
    <row r="115" spans="5:7" ht="24">
      <c r="E115" s="4" t="s">
        <v>229</v>
      </c>
      <c r="F115" s="5" t="s">
        <v>230</v>
      </c>
      <c r="G115" s="6">
        <v>5022</v>
      </c>
    </row>
    <row r="116" spans="5:7" ht="24">
      <c r="E116" s="4" t="s">
        <v>231</v>
      </c>
      <c r="F116" s="5" t="s">
        <v>232</v>
      </c>
      <c r="G116" s="6">
        <v>4115</v>
      </c>
    </row>
    <row r="117" spans="5:7" ht="24">
      <c r="E117" s="4" t="s">
        <v>233</v>
      </c>
      <c r="F117" s="5" t="s">
        <v>234</v>
      </c>
      <c r="G117" s="6">
        <v>4265</v>
      </c>
    </row>
    <row r="118" spans="5:7" ht="24">
      <c r="E118" s="4" t="s">
        <v>235</v>
      </c>
      <c r="F118" s="5" t="s">
        <v>236</v>
      </c>
      <c r="G118" s="6">
        <v>4329</v>
      </c>
    </row>
    <row r="119" spans="5:7" ht="24">
      <c r="E119" s="4" t="s">
        <v>237</v>
      </c>
      <c r="F119" s="5" t="s">
        <v>238</v>
      </c>
      <c r="G119" s="6">
        <v>4363</v>
      </c>
    </row>
    <row r="120" spans="5:7" ht="24">
      <c r="E120" s="4" t="s">
        <v>239</v>
      </c>
      <c r="F120" s="5" t="s">
        <v>240</v>
      </c>
      <c r="G120" s="6">
        <v>4253</v>
      </c>
    </row>
    <row r="121" spans="5:7" ht="24">
      <c r="E121" s="4" t="s">
        <v>241</v>
      </c>
      <c r="F121" s="5" t="s">
        <v>242</v>
      </c>
      <c r="G121" s="6">
        <v>4365</v>
      </c>
    </row>
    <row r="122" spans="5:7" ht="24">
      <c r="E122" s="4" t="s">
        <v>243</v>
      </c>
      <c r="F122" s="5" t="s">
        <v>244</v>
      </c>
      <c r="G122" s="6">
        <v>4325</v>
      </c>
    </row>
    <row r="125" spans="5:7" ht="24">
      <c r="E125" s="4" t="s">
        <v>249</v>
      </c>
      <c r="F125" s="5" t="s">
        <v>250</v>
      </c>
      <c r="G125" s="6">
        <v>5495</v>
      </c>
    </row>
    <row r="127" spans="5:7" ht="24">
      <c r="E127" s="4" t="s">
        <v>253</v>
      </c>
      <c r="F127" s="5" t="s">
        <v>254</v>
      </c>
      <c r="G127" s="6">
        <v>7157</v>
      </c>
    </row>
    <row r="130" spans="5:7" ht="24">
      <c r="E130" s="4" t="s">
        <v>259</v>
      </c>
      <c r="F130" s="5" t="s">
        <v>260</v>
      </c>
      <c r="G130" s="6">
        <v>8502</v>
      </c>
    </row>
    <row r="131" spans="5:7" ht="24">
      <c r="E131" s="4" t="s">
        <v>261</v>
      </c>
      <c r="F131" s="5" t="s">
        <v>262</v>
      </c>
      <c r="G131" s="6">
        <v>9352</v>
      </c>
    </row>
    <row r="132" spans="5:7" ht="24">
      <c r="E132" s="4" t="s">
        <v>263</v>
      </c>
      <c r="F132" s="5" t="s">
        <v>264</v>
      </c>
      <c r="G132" s="6">
        <v>9821</v>
      </c>
    </row>
    <row r="134" spans="5:7" ht="24">
      <c r="E134" s="4" t="s">
        <v>267</v>
      </c>
      <c r="F134" s="5" t="s">
        <v>268</v>
      </c>
      <c r="G134" s="6">
        <v>7789</v>
      </c>
    </row>
    <row r="135" spans="5:7" ht="24">
      <c r="E135" s="4" t="s">
        <v>269</v>
      </c>
      <c r="F135" s="5" t="s">
        <v>270</v>
      </c>
      <c r="G135" s="6">
        <v>8456</v>
      </c>
    </row>
    <row r="136" spans="5:7" ht="24">
      <c r="E136" s="4" t="s">
        <v>271</v>
      </c>
      <c r="F136" s="5" t="s">
        <v>272</v>
      </c>
      <c r="G136" s="6">
        <v>9821</v>
      </c>
    </row>
    <row r="137" spans="5:7" ht="24">
      <c r="E137" s="4" t="s">
        <v>273</v>
      </c>
      <c r="F137" s="5" t="s">
        <v>274</v>
      </c>
      <c r="G137" s="6">
        <v>10050</v>
      </c>
    </row>
    <row r="138" spans="5:7" ht="24">
      <c r="E138" s="4" t="s">
        <v>275</v>
      </c>
      <c r="F138" s="5" t="s">
        <v>276</v>
      </c>
      <c r="G138" s="6">
        <v>10085</v>
      </c>
    </row>
    <row r="141" spans="5:7" ht="24">
      <c r="E141" s="4" t="s">
        <v>281</v>
      </c>
      <c r="F141" s="5" t="s">
        <v>282</v>
      </c>
      <c r="G141" s="6">
        <v>11525</v>
      </c>
    </row>
  </sheetData>
  <sortState ref="AA4:AL47">
    <sortCondition ref="AD4:AD47"/>
  </sortState>
  <mergeCells count="6">
    <mergeCell ref="AA2:AH2"/>
    <mergeCell ref="B2:C2"/>
    <mergeCell ref="E2:G2"/>
    <mergeCell ref="O2:T2"/>
    <mergeCell ref="H2:N2"/>
    <mergeCell ref="U2:Z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6"/>
  <sheetViews>
    <sheetView topLeftCell="A16" workbookViewId="0">
      <selection activeCell="I41" sqref="I41"/>
    </sheetView>
  </sheetViews>
  <sheetFormatPr defaultRowHeight="15"/>
  <cols>
    <col min="7" max="7" width="14.7109375" customWidth="1"/>
  </cols>
  <sheetData>
    <row r="1" spans="2:8">
      <c r="H1">
        <v>420</v>
      </c>
    </row>
    <row r="2" spans="2:8" ht="45">
      <c r="G2" s="202" t="s">
        <v>1613</v>
      </c>
      <c r="H2" s="202" t="s">
        <v>1614</v>
      </c>
    </row>
    <row r="3" spans="2:8">
      <c r="B3" t="s">
        <v>1569</v>
      </c>
      <c r="C3">
        <v>300</v>
      </c>
      <c r="D3">
        <v>200</v>
      </c>
      <c r="E3">
        <v>150</v>
      </c>
      <c r="F3" t="s">
        <v>0</v>
      </c>
      <c r="G3">
        <v>2944</v>
      </c>
      <c r="H3">
        <f>G3+$H$1</f>
        <v>3364</v>
      </c>
    </row>
    <row r="4" spans="2:8">
      <c r="B4" t="s">
        <v>1570</v>
      </c>
      <c r="C4">
        <v>300</v>
      </c>
      <c r="D4">
        <v>250</v>
      </c>
      <c r="E4">
        <v>150</v>
      </c>
      <c r="F4" t="s">
        <v>0</v>
      </c>
      <c r="G4">
        <v>3034</v>
      </c>
      <c r="H4">
        <f t="shared" ref="H4:H46" si="0">G4+$H$1</f>
        <v>3454</v>
      </c>
    </row>
    <row r="5" spans="2:8">
      <c r="B5" t="s">
        <v>1571</v>
      </c>
      <c r="C5">
        <v>300</v>
      </c>
      <c r="D5">
        <v>300</v>
      </c>
      <c r="E5">
        <v>150</v>
      </c>
      <c r="F5" t="s">
        <v>0</v>
      </c>
      <c r="G5">
        <v>3223</v>
      </c>
      <c r="H5">
        <f t="shared" si="0"/>
        <v>3643</v>
      </c>
    </row>
    <row r="6" spans="2:8">
      <c r="B6" t="s">
        <v>1572</v>
      </c>
      <c r="C6">
        <v>300</v>
      </c>
      <c r="D6">
        <v>400</v>
      </c>
      <c r="E6">
        <v>150</v>
      </c>
      <c r="F6" t="s">
        <v>0</v>
      </c>
      <c r="G6">
        <v>3330</v>
      </c>
      <c r="H6">
        <f t="shared" si="0"/>
        <v>3750</v>
      </c>
    </row>
    <row r="7" spans="2:8">
      <c r="B7" t="s">
        <v>1573</v>
      </c>
      <c r="C7">
        <v>300</v>
      </c>
      <c r="D7">
        <v>400</v>
      </c>
      <c r="E7">
        <v>200</v>
      </c>
      <c r="F7" t="s">
        <v>0</v>
      </c>
      <c r="G7">
        <v>3261</v>
      </c>
      <c r="H7">
        <f t="shared" si="0"/>
        <v>3681</v>
      </c>
    </row>
    <row r="8" spans="2:8">
      <c r="B8" t="s">
        <v>1574</v>
      </c>
      <c r="C8">
        <v>400</v>
      </c>
      <c r="D8">
        <v>300</v>
      </c>
      <c r="E8">
        <v>150</v>
      </c>
      <c r="F8" t="s">
        <v>0</v>
      </c>
      <c r="G8">
        <v>3438</v>
      </c>
      <c r="H8">
        <f t="shared" si="0"/>
        <v>3858</v>
      </c>
    </row>
    <row r="9" spans="2:8">
      <c r="B9" t="s">
        <v>1575</v>
      </c>
      <c r="C9">
        <v>400</v>
      </c>
      <c r="D9">
        <v>300</v>
      </c>
      <c r="E9">
        <v>200</v>
      </c>
      <c r="F9" t="s">
        <v>0</v>
      </c>
      <c r="G9">
        <v>3834</v>
      </c>
      <c r="H9">
        <f t="shared" si="0"/>
        <v>4254</v>
      </c>
    </row>
    <row r="10" spans="2:8">
      <c r="B10" t="s">
        <v>1576</v>
      </c>
      <c r="C10">
        <v>400</v>
      </c>
      <c r="D10">
        <v>400</v>
      </c>
      <c r="E10">
        <v>200</v>
      </c>
      <c r="F10" t="s">
        <v>0</v>
      </c>
      <c r="G10">
        <v>3884</v>
      </c>
      <c r="H10">
        <f t="shared" si="0"/>
        <v>4304</v>
      </c>
    </row>
    <row r="11" spans="2:8">
      <c r="B11" t="s">
        <v>1577</v>
      </c>
      <c r="C11">
        <v>400</v>
      </c>
      <c r="D11">
        <v>600</v>
      </c>
      <c r="E11">
        <v>200</v>
      </c>
      <c r="F11" t="s">
        <v>0</v>
      </c>
      <c r="G11">
        <v>5601</v>
      </c>
      <c r="H11">
        <f t="shared" si="0"/>
        <v>6021</v>
      </c>
    </row>
    <row r="12" spans="2:8">
      <c r="B12" t="s">
        <v>1578</v>
      </c>
      <c r="C12">
        <v>500</v>
      </c>
      <c r="D12">
        <v>300</v>
      </c>
      <c r="E12">
        <v>150</v>
      </c>
      <c r="F12" t="s">
        <v>0</v>
      </c>
      <c r="G12">
        <v>4400</v>
      </c>
      <c r="H12">
        <f t="shared" si="0"/>
        <v>4820</v>
      </c>
    </row>
    <row r="13" spans="2:8">
      <c r="B13" t="s">
        <v>1579</v>
      </c>
      <c r="C13">
        <v>500</v>
      </c>
      <c r="D13">
        <v>300</v>
      </c>
      <c r="E13">
        <v>200</v>
      </c>
      <c r="F13" t="s">
        <v>0</v>
      </c>
      <c r="G13">
        <v>4783</v>
      </c>
      <c r="H13">
        <f t="shared" si="0"/>
        <v>5203</v>
      </c>
    </row>
    <row r="14" spans="2:8">
      <c r="B14" t="s">
        <v>1580</v>
      </c>
      <c r="C14">
        <v>500</v>
      </c>
      <c r="D14">
        <v>400</v>
      </c>
      <c r="E14">
        <v>200</v>
      </c>
      <c r="F14" t="s">
        <v>0</v>
      </c>
      <c r="G14">
        <v>4861</v>
      </c>
      <c r="H14">
        <f t="shared" si="0"/>
        <v>5281</v>
      </c>
    </row>
    <row r="15" spans="2:8">
      <c r="B15" t="s">
        <v>1581</v>
      </c>
      <c r="C15">
        <v>500</v>
      </c>
      <c r="D15">
        <v>500</v>
      </c>
      <c r="E15">
        <v>200</v>
      </c>
      <c r="F15" t="s">
        <v>0</v>
      </c>
      <c r="G15">
        <v>5550</v>
      </c>
      <c r="H15">
        <f t="shared" si="0"/>
        <v>5970</v>
      </c>
    </row>
    <row r="16" spans="2:8">
      <c r="B16" t="s">
        <v>1582</v>
      </c>
      <c r="C16">
        <v>500</v>
      </c>
      <c r="D16">
        <v>600</v>
      </c>
      <c r="E16">
        <v>200</v>
      </c>
      <c r="F16" t="s">
        <v>0</v>
      </c>
      <c r="G16">
        <v>6027</v>
      </c>
      <c r="H16">
        <f t="shared" si="0"/>
        <v>6447</v>
      </c>
    </row>
    <row r="17" spans="2:8">
      <c r="B17" t="s">
        <v>1583</v>
      </c>
      <c r="C17">
        <v>500</v>
      </c>
      <c r="D17">
        <v>400</v>
      </c>
      <c r="E17">
        <v>250</v>
      </c>
      <c r="F17" t="s">
        <v>0</v>
      </c>
      <c r="G17">
        <v>5373</v>
      </c>
      <c r="H17">
        <f t="shared" si="0"/>
        <v>5793</v>
      </c>
    </row>
    <row r="18" spans="2:8">
      <c r="B18" t="s">
        <v>1584</v>
      </c>
      <c r="C18">
        <v>500</v>
      </c>
      <c r="D18">
        <v>500</v>
      </c>
      <c r="E18">
        <v>300</v>
      </c>
      <c r="F18" t="s">
        <v>0</v>
      </c>
      <c r="G18">
        <v>7215</v>
      </c>
      <c r="H18">
        <f t="shared" si="0"/>
        <v>7635</v>
      </c>
    </row>
    <row r="19" spans="2:8">
      <c r="B19" t="s">
        <v>1585</v>
      </c>
      <c r="C19">
        <v>500</v>
      </c>
      <c r="D19">
        <v>600</v>
      </c>
      <c r="E19">
        <v>300</v>
      </c>
      <c r="F19" t="s">
        <v>0</v>
      </c>
      <c r="G19">
        <v>7835</v>
      </c>
      <c r="H19">
        <f t="shared" si="0"/>
        <v>8255</v>
      </c>
    </row>
    <row r="20" spans="2:8">
      <c r="B20" t="s">
        <v>1586</v>
      </c>
      <c r="C20">
        <v>600</v>
      </c>
      <c r="D20">
        <v>400</v>
      </c>
      <c r="E20">
        <v>200</v>
      </c>
      <c r="F20" t="s">
        <v>0</v>
      </c>
      <c r="G20">
        <v>5140</v>
      </c>
      <c r="H20">
        <f t="shared" si="0"/>
        <v>5560</v>
      </c>
    </row>
    <row r="21" spans="2:8">
      <c r="B21" t="s">
        <v>1587</v>
      </c>
      <c r="C21">
        <v>600</v>
      </c>
      <c r="D21">
        <v>500</v>
      </c>
      <c r="E21">
        <v>200</v>
      </c>
      <c r="F21" t="s">
        <v>0</v>
      </c>
      <c r="G21">
        <v>6560</v>
      </c>
      <c r="H21">
        <f t="shared" si="0"/>
        <v>6980</v>
      </c>
    </row>
    <row r="22" spans="2:8">
      <c r="B22" t="s">
        <v>1588</v>
      </c>
      <c r="C22">
        <v>600</v>
      </c>
      <c r="D22">
        <v>400</v>
      </c>
      <c r="E22">
        <v>250</v>
      </c>
      <c r="F22" t="s">
        <v>0</v>
      </c>
      <c r="G22">
        <v>5988</v>
      </c>
      <c r="H22">
        <f t="shared" si="0"/>
        <v>6408</v>
      </c>
    </row>
    <row r="23" spans="2:8">
      <c r="B23" t="s">
        <v>1589</v>
      </c>
      <c r="C23">
        <v>600</v>
      </c>
      <c r="D23">
        <v>600</v>
      </c>
      <c r="E23">
        <v>250</v>
      </c>
      <c r="F23" t="s">
        <v>0</v>
      </c>
      <c r="G23">
        <v>7198</v>
      </c>
      <c r="H23">
        <f t="shared" si="0"/>
        <v>7618</v>
      </c>
    </row>
    <row r="24" spans="2:8">
      <c r="B24" t="s">
        <v>1590</v>
      </c>
      <c r="C24">
        <v>600</v>
      </c>
      <c r="D24">
        <v>400</v>
      </c>
      <c r="E24">
        <v>400</v>
      </c>
      <c r="F24" t="s">
        <v>0</v>
      </c>
      <c r="G24">
        <v>8049</v>
      </c>
      <c r="H24">
        <f t="shared" si="0"/>
        <v>8469</v>
      </c>
    </row>
    <row r="25" spans="2:8">
      <c r="B25" t="s">
        <v>1591</v>
      </c>
      <c r="C25">
        <v>600</v>
      </c>
      <c r="D25">
        <v>600</v>
      </c>
      <c r="E25">
        <v>400</v>
      </c>
      <c r="F25" t="s">
        <v>0</v>
      </c>
      <c r="G25">
        <v>10158</v>
      </c>
      <c r="H25">
        <f t="shared" si="0"/>
        <v>10578</v>
      </c>
    </row>
    <row r="26" spans="2:8">
      <c r="B26" t="s">
        <v>1592</v>
      </c>
      <c r="C26">
        <v>700</v>
      </c>
      <c r="D26">
        <v>500</v>
      </c>
      <c r="E26">
        <v>200</v>
      </c>
      <c r="F26" t="s">
        <v>0</v>
      </c>
      <c r="G26">
        <v>6512</v>
      </c>
      <c r="H26">
        <f t="shared" si="0"/>
        <v>6932</v>
      </c>
    </row>
    <row r="27" spans="2:8">
      <c r="B27" t="s">
        <v>1593</v>
      </c>
      <c r="C27">
        <v>700</v>
      </c>
      <c r="D27">
        <v>500</v>
      </c>
      <c r="E27">
        <v>250</v>
      </c>
      <c r="F27" t="s">
        <v>0</v>
      </c>
      <c r="G27">
        <v>6884</v>
      </c>
      <c r="H27">
        <f t="shared" si="0"/>
        <v>7304</v>
      </c>
    </row>
    <row r="28" spans="2:8">
      <c r="B28" t="s">
        <v>1594</v>
      </c>
      <c r="C28">
        <v>800</v>
      </c>
      <c r="D28">
        <v>600</v>
      </c>
      <c r="E28">
        <v>200</v>
      </c>
      <c r="F28" t="s">
        <v>0</v>
      </c>
      <c r="G28">
        <v>8193</v>
      </c>
      <c r="H28">
        <f t="shared" si="0"/>
        <v>8613</v>
      </c>
    </row>
    <row r="29" spans="2:8">
      <c r="B29" t="s">
        <v>1595</v>
      </c>
      <c r="C29">
        <v>800</v>
      </c>
      <c r="D29">
        <v>800</v>
      </c>
      <c r="E29">
        <v>200</v>
      </c>
      <c r="F29" t="s">
        <v>0</v>
      </c>
      <c r="G29">
        <v>11220</v>
      </c>
      <c r="H29">
        <f t="shared" si="0"/>
        <v>11640</v>
      </c>
    </row>
    <row r="30" spans="2:8">
      <c r="B30" t="s">
        <v>1596</v>
      </c>
      <c r="C30">
        <v>800</v>
      </c>
      <c r="D30">
        <v>600</v>
      </c>
      <c r="E30">
        <v>250</v>
      </c>
      <c r="F30" t="s">
        <v>0</v>
      </c>
      <c r="G30">
        <v>8398</v>
      </c>
      <c r="H30">
        <f t="shared" si="0"/>
        <v>8818</v>
      </c>
    </row>
    <row r="31" spans="2:8">
      <c r="B31" t="s">
        <v>1597</v>
      </c>
      <c r="C31">
        <v>800</v>
      </c>
      <c r="D31">
        <v>600</v>
      </c>
      <c r="E31">
        <v>300</v>
      </c>
      <c r="F31" t="s">
        <v>0</v>
      </c>
      <c r="G31">
        <v>8741</v>
      </c>
      <c r="H31">
        <f t="shared" si="0"/>
        <v>9161</v>
      </c>
    </row>
    <row r="32" spans="2:8">
      <c r="B32" t="s">
        <v>1598</v>
      </c>
      <c r="C32">
        <v>800</v>
      </c>
      <c r="D32">
        <v>800</v>
      </c>
      <c r="E32">
        <v>300</v>
      </c>
      <c r="F32" t="s">
        <v>0</v>
      </c>
      <c r="G32">
        <v>12527</v>
      </c>
      <c r="H32">
        <f t="shared" si="0"/>
        <v>12947</v>
      </c>
    </row>
    <row r="33" spans="2:8">
      <c r="B33" t="s">
        <v>1599</v>
      </c>
      <c r="C33">
        <v>800</v>
      </c>
      <c r="D33">
        <v>600</v>
      </c>
      <c r="E33">
        <v>400</v>
      </c>
      <c r="F33" t="s">
        <v>0</v>
      </c>
      <c r="G33">
        <v>12636</v>
      </c>
      <c r="H33">
        <f t="shared" si="0"/>
        <v>13056</v>
      </c>
    </row>
    <row r="34" spans="2:8">
      <c r="B34" t="s">
        <v>1600</v>
      </c>
      <c r="C34">
        <v>800</v>
      </c>
      <c r="D34">
        <v>800</v>
      </c>
      <c r="E34">
        <v>400</v>
      </c>
      <c r="F34" t="s">
        <v>0</v>
      </c>
      <c r="G34">
        <v>14390</v>
      </c>
      <c r="H34">
        <f t="shared" si="0"/>
        <v>14810</v>
      </c>
    </row>
    <row r="35" spans="2:8">
      <c r="B35" t="s">
        <v>1601</v>
      </c>
      <c r="C35">
        <v>1000</v>
      </c>
      <c r="D35">
        <v>600</v>
      </c>
      <c r="E35">
        <v>250</v>
      </c>
      <c r="F35" t="s">
        <v>33</v>
      </c>
      <c r="G35">
        <v>11434</v>
      </c>
      <c r="H35">
        <f t="shared" si="0"/>
        <v>11854</v>
      </c>
    </row>
    <row r="36" spans="2:8">
      <c r="B36" t="s">
        <v>1602</v>
      </c>
      <c r="C36">
        <v>1000</v>
      </c>
      <c r="D36">
        <v>600</v>
      </c>
      <c r="E36">
        <v>300</v>
      </c>
      <c r="F36" t="s">
        <v>33</v>
      </c>
      <c r="G36">
        <v>12506</v>
      </c>
      <c r="H36">
        <f t="shared" si="0"/>
        <v>12926</v>
      </c>
    </row>
    <row r="37" spans="2:8">
      <c r="B37" t="s">
        <v>1603</v>
      </c>
      <c r="C37">
        <v>1000</v>
      </c>
      <c r="D37">
        <v>800</v>
      </c>
      <c r="E37">
        <v>300</v>
      </c>
      <c r="F37" t="s">
        <v>33</v>
      </c>
      <c r="G37">
        <v>12416</v>
      </c>
      <c r="H37">
        <f t="shared" si="0"/>
        <v>12836</v>
      </c>
    </row>
    <row r="38" spans="2:8">
      <c r="B38" t="s">
        <v>1604</v>
      </c>
      <c r="C38">
        <v>1000</v>
      </c>
      <c r="D38">
        <v>600</v>
      </c>
      <c r="E38">
        <v>400</v>
      </c>
      <c r="F38" t="s">
        <v>33</v>
      </c>
      <c r="G38">
        <v>15011</v>
      </c>
      <c r="H38">
        <f t="shared" si="0"/>
        <v>15431</v>
      </c>
    </row>
    <row r="39" spans="2:8">
      <c r="B39" t="s">
        <v>1605</v>
      </c>
      <c r="C39">
        <v>1000</v>
      </c>
      <c r="D39">
        <v>800</v>
      </c>
      <c r="E39">
        <v>400</v>
      </c>
      <c r="F39" t="s">
        <v>33</v>
      </c>
      <c r="G39">
        <v>15734</v>
      </c>
      <c r="H39">
        <f t="shared" si="0"/>
        <v>16154</v>
      </c>
    </row>
    <row r="40" spans="2:8">
      <c r="B40" t="s">
        <v>1606</v>
      </c>
      <c r="C40">
        <v>1200</v>
      </c>
      <c r="D40">
        <v>600</v>
      </c>
      <c r="E40">
        <v>200</v>
      </c>
      <c r="F40" t="s">
        <v>33</v>
      </c>
      <c r="G40">
        <v>12168</v>
      </c>
      <c r="H40">
        <f t="shared" si="0"/>
        <v>12588</v>
      </c>
    </row>
    <row r="41" spans="2:8">
      <c r="B41" t="s">
        <v>1607</v>
      </c>
      <c r="C41">
        <v>1200</v>
      </c>
      <c r="D41">
        <v>600</v>
      </c>
      <c r="E41">
        <v>300</v>
      </c>
      <c r="F41" t="s">
        <v>33</v>
      </c>
      <c r="G41">
        <v>14210</v>
      </c>
      <c r="H41">
        <f t="shared" si="0"/>
        <v>14630</v>
      </c>
    </row>
    <row r="42" spans="2:8">
      <c r="B42" t="s">
        <v>1608</v>
      </c>
      <c r="C42">
        <v>1200</v>
      </c>
      <c r="D42">
        <v>800</v>
      </c>
      <c r="E42">
        <v>300</v>
      </c>
      <c r="F42" t="s">
        <v>33</v>
      </c>
      <c r="G42">
        <v>16483</v>
      </c>
      <c r="H42">
        <f t="shared" si="0"/>
        <v>16903</v>
      </c>
    </row>
    <row r="43" spans="2:8">
      <c r="B43" t="s">
        <v>1609</v>
      </c>
      <c r="C43">
        <v>1200</v>
      </c>
      <c r="D43">
        <v>600</v>
      </c>
      <c r="E43">
        <v>400</v>
      </c>
      <c r="F43" t="s">
        <v>33</v>
      </c>
      <c r="G43">
        <v>17769</v>
      </c>
      <c r="H43">
        <f t="shared" si="0"/>
        <v>18189</v>
      </c>
    </row>
    <row r="44" spans="2:8">
      <c r="B44" t="s">
        <v>1610</v>
      </c>
      <c r="C44">
        <v>1200</v>
      </c>
      <c r="D44">
        <v>800</v>
      </c>
      <c r="E44">
        <v>400</v>
      </c>
      <c r="F44" t="s">
        <v>33</v>
      </c>
      <c r="G44">
        <v>22343</v>
      </c>
      <c r="H44">
        <f t="shared" si="0"/>
        <v>22763</v>
      </c>
    </row>
    <row r="45" spans="2:8">
      <c r="B45" t="s">
        <v>1611</v>
      </c>
      <c r="C45">
        <v>1400</v>
      </c>
      <c r="D45">
        <v>600</v>
      </c>
      <c r="E45">
        <v>300</v>
      </c>
      <c r="F45" t="s">
        <v>33</v>
      </c>
      <c r="G45">
        <v>19825</v>
      </c>
      <c r="H45">
        <f t="shared" si="0"/>
        <v>20245</v>
      </c>
    </row>
    <row r="46" spans="2:8">
      <c r="B46" t="s">
        <v>1612</v>
      </c>
      <c r="C46">
        <v>1400</v>
      </c>
      <c r="D46">
        <v>800</v>
      </c>
      <c r="E46">
        <v>300</v>
      </c>
      <c r="F46" t="s">
        <v>33</v>
      </c>
      <c r="G46">
        <v>22390</v>
      </c>
      <c r="H46">
        <f t="shared" si="0"/>
        <v>22810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0"/>
  <sheetViews>
    <sheetView topLeftCell="A31" workbookViewId="0">
      <selection activeCell="M25" sqref="M25"/>
    </sheetView>
  </sheetViews>
  <sheetFormatPr defaultRowHeight="15"/>
  <cols>
    <col min="5" max="5" width="16.7109375" customWidth="1"/>
    <col min="7" max="7" width="13.7109375" customWidth="1"/>
  </cols>
  <sheetData>
    <row r="1" spans="2:12">
      <c r="H1">
        <v>2500</v>
      </c>
    </row>
    <row r="2" spans="2:12" ht="60">
      <c r="F2" s="202" t="s">
        <v>1659</v>
      </c>
      <c r="G2" s="202" t="s">
        <v>1660</v>
      </c>
      <c r="H2" s="202" t="s">
        <v>1661</v>
      </c>
      <c r="I2" s="202" t="s">
        <v>1662</v>
      </c>
      <c r="J2" s="202"/>
      <c r="K2" s="202"/>
      <c r="L2" s="202"/>
    </row>
    <row r="3" spans="2:12">
      <c r="B3">
        <v>300</v>
      </c>
      <c r="C3">
        <v>200</v>
      </c>
      <c r="D3">
        <v>150</v>
      </c>
      <c r="E3" t="s">
        <v>1615</v>
      </c>
      <c r="F3">
        <v>0.27</v>
      </c>
      <c r="G3">
        <v>2944</v>
      </c>
      <c r="H3">
        <f>F3*$H$1+G3</f>
        <v>3619</v>
      </c>
      <c r="I3">
        <f>H3*0.75</f>
        <v>2714.25</v>
      </c>
      <c r="J3">
        <v>2208.1895</v>
      </c>
    </row>
    <row r="4" spans="2:12">
      <c r="B4">
        <v>300</v>
      </c>
      <c r="C4">
        <v>250</v>
      </c>
      <c r="D4">
        <v>150</v>
      </c>
      <c r="E4" t="s">
        <v>1616</v>
      </c>
      <c r="F4">
        <v>0.315</v>
      </c>
      <c r="G4">
        <v>3034</v>
      </c>
      <c r="H4">
        <f t="shared" ref="H4:H67" si="0">F4*$H$1+G4</f>
        <v>3821.5</v>
      </c>
      <c r="I4">
        <f t="shared" ref="I4:I46" si="1">H4*0.75</f>
        <v>2866.125</v>
      </c>
      <c r="J4">
        <v>2275.2309999999998</v>
      </c>
    </row>
    <row r="5" spans="2:12">
      <c r="B5">
        <v>300</v>
      </c>
      <c r="C5">
        <v>300</v>
      </c>
      <c r="D5">
        <v>150</v>
      </c>
      <c r="E5" t="s">
        <v>1617</v>
      </c>
      <c r="F5">
        <v>0.36</v>
      </c>
      <c r="G5">
        <v>3223</v>
      </c>
      <c r="H5">
        <f t="shared" si="0"/>
        <v>4123</v>
      </c>
      <c r="I5">
        <f t="shared" si="1"/>
        <v>3092.25</v>
      </c>
      <c r="J5">
        <v>2416.9994999999999</v>
      </c>
    </row>
    <row r="6" spans="2:12">
      <c r="B6">
        <v>300</v>
      </c>
      <c r="C6">
        <v>400</v>
      </c>
      <c r="D6">
        <v>150</v>
      </c>
      <c r="E6" t="s">
        <v>1618</v>
      </c>
      <c r="F6">
        <v>0.45</v>
      </c>
      <c r="G6">
        <v>3330</v>
      </c>
      <c r="H6">
        <f t="shared" si="0"/>
        <v>4455</v>
      </c>
      <c r="I6">
        <f t="shared" si="1"/>
        <v>3341.25</v>
      </c>
      <c r="J6">
        <v>2497.607</v>
      </c>
    </row>
    <row r="7" spans="2:12">
      <c r="B7">
        <v>300</v>
      </c>
      <c r="C7">
        <v>400</v>
      </c>
      <c r="D7">
        <v>200</v>
      </c>
      <c r="E7" t="s">
        <v>1619</v>
      </c>
      <c r="F7">
        <v>0.52</v>
      </c>
      <c r="G7">
        <v>3261</v>
      </c>
      <c r="H7">
        <f t="shared" si="0"/>
        <v>4561</v>
      </c>
      <c r="I7">
        <f t="shared" si="1"/>
        <v>3420.75</v>
      </c>
      <c r="J7">
        <v>2445.5660000000003</v>
      </c>
    </row>
    <row r="8" spans="2:12">
      <c r="B8">
        <v>400</v>
      </c>
      <c r="C8">
        <v>300</v>
      </c>
      <c r="D8">
        <v>150</v>
      </c>
      <c r="E8" t="s">
        <v>1620</v>
      </c>
      <c r="F8">
        <v>0.45</v>
      </c>
      <c r="G8">
        <v>3438</v>
      </c>
      <c r="H8">
        <f t="shared" si="0"/>
        <v>4563</v>
      </c>
      <c r="I8">
        <f t="shared" si="1"/>
        <v>3422.25</v>
      </c>
      <c r="J8">
        <v>2578.1860000000001</v>
      </c>
    </row>
    <row r="9" spans="2:12">
      <c r="B9">
        <v>400</v>
      </c>
      <c r="C9">
        <v>300</v>
      </c>
      <c r="D9">
        <v>200</v>
      </c>
      <c r="E9" t="s">
        <v>1621</v>
      </c>
      <c r="F9">
        <v>0.52</v>
      </c>
      <c r="G9">
        <v>3834</v>
      </c>
      <c r="H9">
        <f t="shared" si="0"/>
        <v>5134</v>
      </c>
      <c r="I9">
        <f t="shared" si="1"/>
        <v>3850.5</v>
      </c>
      <c r="J9">
        <v>2875.8589999999995</v>
      </c>
    </row>
    <row r="10" spans="2:12">
      <c r="B10">
        <v>400</v>
      </c>
      <c r="C10">
        <v>400</v>
      </c>
      <c r="D10">
        <v>200</v>
      </c>
      <c r="E10" t="s">
        <v>1622</v>
      </c>
      <c r="F10">
        <v>0.64</v>
      </c>
      <c r="G10">
        <v>3884</v>
      </c>
      <c r="H10">
        <f t="shared" si="0"/>
        <v>5484</v>
      </c>
      <c r="I10">
        <f t="shared" si="1"/>
        <v>4113</v>
      </c>
      <c r="J10">
        <v>2913.2224999999999</v>
      </c>
    </row>
    <row r="11" spans="2:12">
      <c r="B11">
        <v>400</v>
      </c>
      <c r="C11">
        <v>600</v>
      </c>
      <c r="D11">
        <v>200</v>
      </c>
      <c r="E11" t="s">
        <v>1623</v>
      </c>
      <c r="F11">
        <v>0.88</v>
      </c>
      <c r="G11">
        <v>5601</v>
      </c>
      <c r="H11">
        <f t="shared" si="0"/>
        <v>7801</v>
      </c>
      <c r="I11">
        <f t="shared" si="1"/>
        <v>5850.75</v>
      </c>
      <c r="J11">
        <v>4200.7669999999998</v>
      </c>
    </row>
    <row r="12" spans="2:12">
      <c r="B12">
        <v>500</v>
      </c>
      <c r="C12">
        <v>300</v>
      </c>
      <c r="D12">
        <v>150</v>
      </c>
      <c r="E12" t="s">
        <v>1624</v>
      </c>
      <c r="F12">
        <v>0.54</v>
      </c>
      <c r="G12">
        <v>4400</v>
      </c>
      <c r="H12">
        <f t="shared" si="0"/>
        <v>5750</v>
      </c>
      <c r="I12">
        <f t="shared" si="1"/>
        <v>4312.5</v>
      </c>
      <c r="J12">
        <v>3299.7489999999998</v>
      </c>
    </row>
    <row r="13" spans="2:12">
      <c r="B13">
        <v>500</v>
      </c>
      <c r="C13">
        <v>300</v>
      </c>
      <c r="D13">
        <v>200</v>
      </c>
      <c r="E13" t="s">
        <v>1625</v>
      </c>
      <c r="F13">
        <v>0.62</v>
      </c>
      <c r="G13">
        <v>4783</v>
      </c>
      <c r="H13">
        <f t="shared" si="0"/>
        <v>6333</v>
      </c>
      <c r="I13">
        <f t="shared" si="1"/>
        <v>4749.75</v>
      </c>
      <c r="J13">
        <v>3586.8865000000001</v>
      </c>
    </row>
    <row r="14" spans="2:12">
      <c r="B14">
        <v>500</v>
      </c>
      <c r="C14">
        <v>400</v>
      </c>
      <c r="D14">
        <v>200</v>
      </c>
      <c r="E14" t="s">
        <v>1626</v>
      </c>
      <c r="F14">
        <v>0.76</v>
      </c>
      <c r="G14">
        <v>4861</v>
      </c>
      <c r="H14">
        <f t="shared" si="0"/>
        <v>6761</v>
      </c>
      <c r="I14">
        <f t="shared" si="1"/>
        <v>5070.75</v>
      </c>
      <c r="J14">
        <v>3645.7485000000001</v>
      </c>
    </row>
    <row r="15" spans="2:12">
      <c r="B15">
        <v>500</v>
      </c>
      <c r="C15">
        <v>500</v>
      </c>
      <c r="D15">
        <v>200</v>
      </c>
      <c r="E15" t="s">
        <v>1627</v>
      </c>
      <c r="F15">
        <v>0.9</v>
      </c>
      <c r="G15">
        <v>5550</v>
      </c>
      <c r="H15">
        <f t="shared" si="0"/>
        <v>7800</v>
      </c>
      <c r="I15">
        <f t="shared" si="1"/>
        <v>5850</v>
      </c>
      <c r="J15">
        <v>4162.2349999999997</v>
      </c>
    </row>
    <row r="16" spans="2:12">
      <c r="B16">
        <v>500</v>
      </c>
      <c r="C16">
        <v>600</v>
      </c>
      <c r="D16">
        <v>200</v>
      </c>
      <c r="E16" t="s">
        <v>1628</v>
      </c>
      <c r="F16">
        <v>1.04</v>
      </c>
      <c r="G16">
        <v>6027</v>
      </c>
      <c r="H16">
        <f t="shared" si="0"/>
        <v>8627</v>
      </c>
      <c r="I16">
        <f t="shared" si="1"/>
        <v>6470.25</v>
      </c>
      <c r="J16">
        <v>4520.0809999999992</v>
      </c>
    </row>
    <row r="17" spans="2:10">
      <c r="B17">
        <v>500</v>
      </c>
      <c r="C17">
        <v>400</v>
      </c>
      <c r="D17">
        <v>250</v>
      </c>
      <c r="E17" t="s">
        <v>1629</v>
      </c>
      <c r="F17">
        <v>0.85</v>
      </c>
      <c r="G17">
        <v>5373</v>
      </c>
      <c r="H17">
        <f t="shared" si="0"/>
        <v>7498</v>
      </c>
      <c r="I17">
        <f t="shared" si="1"/>
        <v>5623.5</v>
      </c>
      <c r="J17">
        <v>4029.7289999999994</v>
      </c>
    </row>
    <row r="18" spans="2:10">
      <c r="B18">
        <v>500</v>
      </c>
      <c r="C18">
        <v>500</v>
      </c>
      <c r="D18">
        <v>300</v>
      </c>
      <c r="E18" t="s">
        <v>1630</v>
      </c>
      <c r="F18">
        <v>1.1000000000000001</v>
      </c>
      <c r="G18">
        <v>7215</v>
      </c>
      <c r="H18">
        <f t="shared" si="0"/>
        <v>9965</v>
      </c>
      <c r="I18">
        <f t="shared" si="1"/>
        <v>7473.75</v>
      </c>
      <c r="J18">
        <v>5410.8864999999996</v>
      </c>
    </row>
    <row r="19" spans="2:10">
      <c r="B19">
        <v>500</v>
      </c>
      <c r="C19">
        <v>600</v>
      </c>
      <c r="D19">
        <v>300</v>
      </c>
      <c r="E19" t="s">
        <v>1631</v>
      </c>
      <c r="F19">
        <v>1.26</v>
      </c>
      <c r="G19">
        <v>7835</v>
      </c>
      <c r="H19">
        <f t="shared" si="0"/>
        <v>10985</v>
      </c>
      <c r="I19">
        <f t="shared" si="1"/>
        <v>8238.75</v>
      </c>
      <c r="J19">
        <v>5876.1014999999998</v>
      </c>
    </row>
    <row r="20" spans="2:10">
      <c r="B20">
        <v>600</v>
      </c>
      <c r="C20">
        <v>400</v>
      </c>
      <c r="D20">
        <v>200</v>
      </c>
      <c r="E20" t="s">
        <v>1632</v>
      </c>
      <c r="F20">
        <v>0.88</v>
      </c>
      <c r="G20">
        <v>5140</v>
      </c>
      <c r="H20">
        <f t="shared" si="0"/>
        <v>7340</v>
      </c>
      <c r="I20">
        <f t="shared" si="1"/>
        <v>5505</v>
      </c>
      <c r="J20">
        <v>3855.0524999999998</v>
      </c>
    </row>
    <row r="21" spans="2:10">
      <c r="B21">
        <v>600</v>
      </c>
      <c r="C21">
        <v>500</v>
      </c>
      <c r="D21">
        <v>200</v>
      </c>
      <c r="E21" t="s">
        <v>1633</v>
      </c>
      <c r="F21">
        <v>1.04</v>
      </c>
      <c r="G21">
        <v>6560</v>
      </c>
      <c r="H21">
        <f t="shared" si="0"/>
        <v>9160</v>
      </c>
      <c r="I21">
        <f t="shared" si="1"/>
        <v>6870</v>
      </c>
      <c r="J21">
        <v>4919.8409999999994</v>
      </c>
    </row>
    <row r="22" spans="2:10">
      <c r="B22">
        <v>600</v>
      </c>
      <c r="C22">
        <v>400</v>
      </c>
      <c r="D22">
        <v>250</v>
      </c>
      <c r="E22" t="s">
        <v>1634</v>
      </c>
      <c r="F22">
        <v>0.98</v>
      </c>
      <c r="G22">
        <v>5988</v>
      </c>
      <c r="H22">
        <f t="shared" si="0"/>
        <v>8438</v>
      </c>
      <c r="I22">
        <f t="shared" si="1"/>
        <v>6328.5</v>
      </c>
      <c r="J22">
        <v>4491.2960000000003</v>
      </c>
    </row>
    <row r="23" spans="2:10">
      <c r="B23">
        <v>600</v>
      </c>
      <c r="C23">
        <v>600</v>
      </c>
      <c r="D23">
        <v>250</v>
      </c>
      <c r="E23" t="s">
        <v>1635</v>
      </c>
      <c r="F23">
        <v>1.32</v>
      </c>
      <c r="G23">
        <v>7198</v>
      </c>
      <c r="H23">
        <f t="shared" si="0"/>
        <v>10498</v>
      </c>
      <c r="I23">
        <f t="shared" si="1"/>
        <v>7873.5</v>
      </c>
      <c r="J23">
        <v>5398.375</v>
      </c>
    </row>
    <row r="24" spans="2:10">
      <c r="B24">
        <v>600</v>
      </c>
      <c r="C24">
        <v>400</v>
      </c>
      <c r="D24">
        <v>400</v>
      </c>
      <c r="E24" t="s">
        <v>1636</v>
      </c>
      <c r="F24">
        <v>1.28</v>
      </c>
      <c r="G24">
        <v>8049</v>
      </c>
      <c r="H24">
        <f t="shared" si="0"/>
        <v>11249</v>
      </c>
      <c r="I24">
        <f t="shared" si="1"/>
        <v>8436.75</v>
      </c>
      <c r="J24">
        <v>6036.5374999999995</v>
      </c>
    </row>
    <row r="25" spans="2:10">
      <c r="B25">
        <v>600</v>
      </c>
      <c r="C25">
        <v>600</v>
      </c>
      <c r="D25">
        <v>400</v>
      </c>
      <c r="E25" t="s">
        <v>1637</v>
      </c>
      <c r="F25">
        <v>1.68</v>
      </c>
      <c r="G25">
        <v>10158</v>
      </c>
      <c r="H25">
        <f t="shared" si="0"/>
        <v>14358</v>
      </c>
      <c r="I25">
        <f t="shared" si="1"/>
        <v>10768.5</v>
      </c>
      <c r="J25">
        <v>7618.5154999999995</v>
      </c>
    </row>
    <row r="26" spans="2:10">
      <c r="B26">
        <v>700</v>
      </c>
      <c r="C26">
        <v>500</v>
      </c>
      <c r="D26">
        <v>200</v>
      </c>
      <c r="E26" t="s">
        <v>1638</v>
      </c>
      <c r="F26">
        <v>1.18</v>
      </c>
      <c r="G26">
        <v>6512</v>
      </c>
      <c r="H26">
        <f t="shared" si="0"/>
        <v>9462</v>
      </c>
      <c r="I26">
        <f t="shared" si="1"/>
        <v>7096.5</v>
      </c>
      <c r="J26">
        <v>4883.8074999999999</v>
      </c>
    </row>
    <row r="27" spans="2:10">
      <c r="B27">
        <v>700</v>
      </c>
      <c r="C27">
        <v>500</v>
      </c>
      <c r="D27">
        <v>250</v>
      </c>
      <c r="E27" t="s">
        <v>1639</v>
      </c>
      <c r="F27">
        <v>1.3</v>
      </c>
      <c r="G27">
        <v>6884</v>
      </c>
      <c r="H27">
        <f t="shared" si="0"/>
        <v>10134</v>
      </c>
      <c r="I27">
        <f t="shared" si="1"/>
        <v>7600.5</v>
      </c>
      <c r="J27">
        <v>5162.6894999999995</v>
      </c>
    </row>
    <row r="28" spans="2:10">
      <c r="B28">
        <v>800</v>
      </c>
      <c r="C28">
        <v>600</v>
      </c>
      <c r="D28">
        <v>200</v>
      </c>
      <c r="E28" t="s">
        <v>1640</v>
      </c>
      <c r="F28">
        <v>1.52</v>
      </c>
      <c r="G28">
        <v>8193</v>
      </c>
      <c r="H28">
        <f t="shared" si="0"/>
        <v>11993</v>
      </c>
      <c r="I28">
        <f t="shared" si="1"/>
        <v>8994.75</v>
      </c>
      <c r="J28">
        <v>6144.5619999999999</v>
      </c>
    </row>
    <row r="29" spans="2:10">
      <c r="B29">
        <v>800</v>
      </c>
      <c r="C29">
        <v>800</v>
      </c>
      <c r="D29">
        <v>200</v>
      </c>
      <c r="E29" t="s">
        <v>1641</v>
      </c>
      <c r="F29">
        <v>1.92</v>
      </c>
      <c r="G29">
        <v>11220</v>
      </c>
      <c r="H29">
        <f t="shared" si="0"/>
        <v>16020</v>
      </c>
      <c r="I29">
        <f t="shared" si="1"/>
        <v>12015</v>
      </c>
      <c r="J29">
        <v>8415.3564999999999</v>
      </c>
    </row>
    <row r="30" spans="2:10">
      <c r="B30">
        <v>800</v>
      </c>
      <c r="C30">
        <v>600</v>
      </c>
      <c r="D30">
        <v>250</v>
      </c>
      <c r="E30" t="s">
        <v>1642</v>
      </c>
      <c r="F30">
        <v>1.66</v>
      </c>
      <c r="G30">
        <v>8398</v>
      </c>
      <c r="H30">
        <f t="shared" si="0"/>
        <v>12548</v>
      </c>
      <c r="I30">
        <f t="shared" si="1"/>
        <v>9411</v>
      </c>
      <c r="J30">
        <v>6298.1959999999999</v>
      </c>
    </row>
    <row r="31" spans="2:10">
      <c r="B31">
        <v>800</v>
      </c>
      <c r="C31">
        <v>600</v>
      </c>
      <c r="D31">
        <v>300</v>
      </c>
      <c r="E31" t="s">
        <v>1643</v>
      </c>
      <c r="F31">
        <v>1.8</v>
      </c>
      <c r="G31">
        <v>8741</v>
      </c>
      <c r="H31">
        <f t="shared" si="0"/>
        <v>13241</v>
      </c>
      <c r="I31">
        <f t="shared" si="1"/>
        <v>9930.75</v>
      </c>
      <c r="J31">
        <v>6555.5889999999999</v>
      </c>
    </row>
    <row r="32" spans="2:10">
      <c r="B32">
        <v>800</v>
      </c>
      <c r="C32">
        <v>800</v>
      </c>
      <c r="D32">
        <v>300</v>
      </c>
      <c r="E32" t="s">
        <v>1644</v>
      </c>
      <c r="F32">
        <v>2.2400000000000002</v>
      </c>
      <c r="G32">
        <v>12527</v>
      </c>
      <c r="H32">
        <f t="shared" si="0"/>
        <v>18127</v>
      </c>
      <c r="I32">
        <f t="shared" si="1"/>
        <v>13595.25</v>
      </c>
      <c r="J32">
        <v>9395.4239999999991</v>
      </c>
    </row>
    <row r="33" spans="2:10">
      <c r="B33">
        <v>800</v>
      </c>
      <c r="C33">
        <v>600</v>
      </c>
      <c r="D33">
        <v>400</v>
      </c>
      <c r="E33" t="s">
        <v>1645</v>
      </c>
      <c r="F33">
        <v>2.08</v>
      </c>
      <c r="G33">
        <v>12636</v>
      </c>
      <c r="H33">
        <f t="shared" si="0"/>
        <v>17836</v>
      </c>
      <c r="I33">
        <f t="shared" si="1"/>
        <v>13377</v>
      </c>
      <c r="J33">
        <v>9476.8484999999982</v>
      </c>
    </row>
    <row r="34" spans="2:10">
      <c r="B34">
        <v>800</v>
      </c>
      <c r="C34">
        <v>800</v>
      </c>
      <c r="D34">
        <v>400</v>
      </c>
      <c r="E34" t="s">
        <v>1646</v>
      </c>
      <c r="F34">
        <v>2.56</v>
      </c>
      <c r="G34">
        <v>14390</v>
      </c>
      <c r="H34">
        <f t="shared" si="0"/>
        <v>20790</v>
      </c>
      <c r="I34">
        <f t="shared" si="1"/>
        <v>15592.5</v>
      </c>
      <c r="J34">
        <v>10792.199499999999</v>
      </c>
    </row>
    <row r="35" spans="2:10">
      <c r="B35">
        <v>1000</v>
      </c>
      <c r="C35">
        <v>600</v>
      </c>
      <c r="D35">
        <v>250</v>
      </c>
      <c r="E35" t="s">
        <v>1647</v>
      </c>
      <c r="F35">
        <v>2</v>
      </c>
      <c r="G35">
        <v>11434</v>
      </c>
      <c r="H35">
        <f t="shared" si="0"/>
        <v>16434</v>
      </c>
      <c r="I35">
        <f t="shared" si="1"/>
        <v>12325.5</v>
      </c>
      <c r="J35">
        <v>8575.2034999999996</v>
      </c>
    </row>
    <row r="36" spans="2:10">
      <c r="B36">
        <v>1000</v>
      </c>
      <c r="C36">
        <v>600</v>
      </c>
      <c r="D36">
        <v>300</v>
      </c>
      <c r="E36" t="s">
        <v>1648</v>
      </c>
      <c r="F36">
        <v>2.16</v>
      </c>
      <c r="G36">
        <v>12506</v>
      </c>
      <c r="H36">
        <f t="shared" si="0"/>
        <v>17906</v>
      </c>
      <c r="I36">
        <f t="shared" si="1"/>
        <v>13429.5</v>
      </c>
      <c r="J36">
        <v>9379.5779999999995</v>
      </c>
    </row>
    <row r="37" spans="2:10">
      <c r="B37">
        <v>1000</v>
      </c>
      <c r="C37">
        <v>800</v>
      </c>
      <c r="D37">
        <v>300</v>
      </c>
      <c r="E37" t="s">
        <v>1649</v>
      </c>
      <c r="F37">
        <v>2.68</v>
      </c>
      <c r="G37">
        <v>12416</v>
      </c>
      <c r="H37">
        <f t="shared" si="0"/>
        <v>19116</v>
      </c>
      <c r="I37">
        <f t="shared" si="1"/>
        <v>14337</v>
      </c>
      <c r="J37">
        <v>9311.8335000000006</v>
      </c>
    </row>
    <row r="38" spans="2:10">
      <c r="B38">
        <v>1000</v>
      </c>
      <c r="C38">
        <v>600</v>
      </c>
      <c r="D38">
        <v>400</v>
      </c>
      <c r="E38" t="s">
        <v>1650</v>
      </c>
      <c r="F38">
        <v>2.48</v>
      </c>
      <c r="G38">
        <v>15011</v>
      </c>
      <c r="H38">
        <f t="shared" si="0"/>
        <v>21211</v>
      </c>
      <c r="I38">
        <f t="shared" si="1"/>
        <v>15908.25</v>
      </c>
      <c r="J38">
        <v>11258.326500000001</v>
      </c>
    </row>
    <row r="39" spans="2:10">
      <c r="B39">
        <v>1000</v>
      </c>
      <c r="C39">
        <v>800</v>
      </c>
      <c r="D39">
        <v>400</v>
      </c>
      <c r="E39" t="s">
        <v>1651</v>
      </c>
      <c r="F39">
        <v>3.04</v>
      </c>
      <c r="G39">
        <v>15734</v>
      </c>
      <c r="H39">
        <f t="shared" si="0"/>
        <v>23334</v>
      </c>
      <c r="I39">
        <f t="shared" si="1"/>
        <v>17500.5</v>
      </c>
      <c r="J39">
        <v>11800.491499999998</v>
      </c>
    </row>
    <row r="40" spans="2:10">
      <c r="B40">
        <v>1200</v>
      </c>
      <c r="C40">
        <v>600</v>
      </c>
      <c r="D40">
        <v>200</v>
      </c>
      <c r="E40" t="s">
        <v>1652</v>
      </c>
      <c r="F40">
        <v>2.16</v>
      </c>
      <c r="G40">
        <v>12168</v>
      </c>
      <c r="H40">
        <f t="shared" si="0"/>
        <v>17568</v>
      </c>
      <c r="I40">
        <f t="shared" si="1"/>
        <v>13176</v>
      </c>
      <c r="J40">
        <v>9126.0990000000002</v>
      </c>
    </row>
    <row r="41" spans="2:10">
      <c r="B41">
        <v>1200</v>
      </c>
      <c r="C41">
        <v>600</v>
      </c>
      <c r="D41">
        <v>300</v>
      </c>
      <c r="E41" t="s">
        <v>1653</v>
      </c>
      <c r="F41">
        <v>2.52</v>
      </c>
      <c r="G41">
        <v>14210</v>
      </c>
      <c r="H41">
        <f t="shared" si="0"/>
        <v>20510</v>
      </c>
      <c r="I41">
        <f t="shared" si="1"/>
        <v>15382.5</v>
      </c>
      <c r="J41">
        <v>10657.5275</v>
      </c>
    </row>
    <row r="42" spans="2:10">
      <c r="B42">
        <v>1200</v>
      </c>
      <c r="C42">
        <v>800</v>
      </c>
      <c r="D42">
        <v>300</v>
      </c>
      <c r="E42" t="s">
        <v>1654</v>
      </c>
      <c r="F42">
        <v>3.12</v>
      </c>
      <c r="G42">
        <v>16483</v>
      </c>
      <c r="H42">
        <f t="shared" si="0"/>
        <v>24283</v>
      </c>
      <c r="I42">
        <f t="shared" si="1"/>
        <v>18212.25</v>
      </c>
      <c r="J42">
        <v>12362.0555</v>
      </c>
    </row>
    <row r="43" spans="2:10">
      <c r="B43">
        <v>1200</v>
      </c>
      <c r="C43">
        <v>600</v>
      </c>
      <c r="D43">
        <v>400</v>
      </c>
      <c r="E43" t="s">
        <v>1655</v>
      </c>
      <c r="F43">
        <v>2.88</v>
      </c>
      <c r="G43">
        <v>17769</v>
      </c>
      <c r="H43">
        <f t="shared" si="0"/>
        <v>24969</v>
      </c>
      <c r="I43">
        <f t="shared" si="1"/>
        <v>18726.75</v>
      </c>
      <c r="J43">
        <v>13326.495499999999</v>
      </c>
    </row>
    <row r="44" spans="2:10">
      <c r="B44">
        <v>1200</v>
      </c>
      <c r="C44">
        <v>800</v>
      </c>
      <c r="D44">
        <v>400</v>
      </c>
      <c r="E44" t="s">
        <v>1656</v>
      </c>
      <c r="F44">
        <v>3.52</v>
      </c>
      <c r="G44">
        <v>22343</v>
      </c>
      <c r="H44">
        <f t="shared" si="0"/>
        <v>31143</v>
      </c>
      <c r="I44">
        <f t="shared" si="1"/>
        <v>23357.25</v>
      </c>
      <c r="J44">
        <v>16756.945499999998</v>
      </c>
    </row>
    <row r="45" spans="2:10">
      <c r="B45">
        <v>1400</v>
      </c>
      <c r="C45">
        <v>600</v>
      </c>
      <c r="D45">
        <v>300</v>
      </c>
      <c r="E45" t="s">
        <v>1657</v>
      </c>
      <c r="F45">
        <v>2.88</v>
      </c>
      <c r="G45">
        <v>19825</v>
      </c>
      <c r="H45">
        <f t="shared" si="0"/>
        <v>27025</v>
      </c>
      <c r="I45">
        <f t="shared" si="1"/>
        <v>20268.75</v>
      </c>
      <c r="J45">
        <v>14868.6875</v>
      </c>
    </row>
    <row r="46" spans="2:10">
      <c r="B46">
        <v>1400</v>
      </c>
      <c r="C46">
        <v>800</v>
      </c>
      <c r="D46">
        <v>300</v>
      </c>
      <c r="E46" t="s">
        <v>1658</v>
      </c>
      <c r="F46">
        <v>3.56</v>
      </c>
      <c r="G46">
        <v>22390</v>
      </c>
      <c r="H46">
        <f t="shared" si="0"/>
        <v>31290</v>
      </c>
      <c r="I46">
        <f t="shared" si="1"/>
        <v>23467.5</v>
      </c>
      <c r="J46">
        <v>16792.247499999998</v>
      </c>
    </row>
    <row r="47" spans="2:10">
      <c r="E47" t="s">
        <v>1663</v>
      </c>
      <c r="F47">
        <v>0.27</v>
      </c>
      <c r="G47">
        <v>3364</v>
      </c>
      <c r="H47">
        <f t="shared" si="0"/>
        <v>4039</v>
      </c>
    </row>
    <row r="48" spans="2:10">
      <c r="E48" t="s">
        <v>1664</v>
      </c>
      <c r="F48">
        <v>0.315</v>
      </c>
      <c r="G48">
        <v>3454</v>
      </c>
      <c r="H48">
        <f t="shared" si="0"/>
        <v>4241.5</v>
      </c>
    </row>
    <row r="49" spans="5:8">
      <c r="E49" t="s">
        <v>1665</v>
      </c>
      <c r="F49">
        <v>0.36</v>
      </c>
      <c r="G49">
        <v>3643</v>
      </c>
      <c r="H49">
        <f t="shared" si="0"/>
        <v>4543</v>
      </c>
    </row>
    <row r="50" spans="5:8">
      <c r="E50" t="s">
        <v>1666</v>
      </c>
      <c r="F50">
        <v>0.45</v>
      </c>
      <c r="G50">
        <v>3750</v>
      </c>
      <c r="H50">
        <f t="shared" si="0"/>
        <v>4875</v>
      </c>
    </row>
    <row r="51" spans="5:8">
      <c r="E51" t="s">
        <v>1667</v>
      </c>
      <c r="F51">
        <v>0.52</v>
      </c>
      <c r="G51">
        <v>3681</v>
      </c>
      <c r="H51">
        <f t="shared" si="0"/>
        <v>4981</v>
      </c>
    </row>
    <row r="52" spans="5:8">
      <c r="E52" t="s">
        <v>1668</v>
      </c>
      <c r="F52">
        <v>0.45</v>
      </c>
      <c r="G52">
        <v>3858</v>
      </c>
      <c r="H52">
        <f t="shared" si="0"/>
        <v>4983</v>
      </c>
    </row>
    <row r="53" spans="5:8">
      <c r="E53" t="s">
        <v>1669</v>
      </c>
      <c r="F53">
        <v>0.52</v>
      </c>
      <c r="G53">
        <v>4254</v>
      </c>
      <c r="H53">
        <f t="shared" si="0"/>
        <v>5554</v>
      </c>
    </row>
    <row r="54" spans="5:8">
      <c r="E54" t="s">
        <v>1670</v>
      </c>
      <c r="F54">
        <v>0.64</v>
      </c>
      <c r="G54">
        <v>4304</v>
      </c>
      <c r="H54">
        <f t="shared" si="0"/>
        <v>5904</v>
      </c>
    </row>
    <row r="55" spans="5:8">
      <c r="E55" t="s">
        <v>1671</v>
      </c>
      <c r="F55">
        <v>0.88</v>
      </c>
      <c r="G55">
        <v>6021</v>
      </c>
      <c r="H55">
        <f t="shared" si="0"/>
        <v>8221</v>
      </c>
    </row>
    <row r="56" spans="5:8">
      <c r="E56" t="s">
        <v>1672</v>
      </c>
      <c r="F56">
        <v>0.54</v>
      </c>
      <c r="G56">
        <v>4820</v>
      </c>
      <c r="H56">
        <f t="shared" si="0"/>
        <v>6170</v>
      </c>
    </row>
    <row r="57" spans="5:8">
      <c r="E57" t="s">
        <v>1673</v>
      </c>
      <c r="F57">
        <v>0.62</v>
      </c>
      <c r="G57">
        <v>5203</v>
      </c>
      <c r="H57">
        <f t="shared" si="0"/>
        <v>6753</v>
      </c>
    </row>
    <row r="58" spans="5:8">
      <c r="E58" t="s">
        <v>1674</v>
      </c>
      <c r="F58">
        <v>0.76</v>
      </c>
      <c r="G58">
        <v>5281</v>
      </c>
      <c r="H58">
        <f t="shared" si="0"/>
        <v>7181</v>
      </c>
    </row>
    <row r="59" spans="5:8">
      <c r="E59" t="s">
        <v>1675</v>
      </c>
      <c r="F59">
        <v>0.9</v>
      </c>
      <c r="G59">
        <v>5970</v>
      </c>
      <c r="H59">
        <f t="shared" si="0"/>
        <v>8220</v>
      </c>
    </row>
    <row r="60" spans="5:8">
      <c r="E60" t="s">
        <v>1676</v>
      </c>
      <c r="F60">
        <v>1.04</v>
      </c>
      <c r="G60">
        <v>6447</v>
      </c>
      <c r="H60">
        <f t="shared" si="0"/>
        <v>9047</v>
      </c>
    </row>
    <row r="61" spans="5:8">
      <c r="E61" t="s">
        <v>1677</v>
      </c>
      <c r="F61">
        <v>0.85</v>
      </c>
      <c r="G61">
        <v>5793</v>
      </c>
      <c r="H61">
        <f t="shared" si="0"/>
        <v>7918</v>
      </c>
    </row>
    <row r="62" spans="5:8">
      <c r="E62" t="s">
        <v>1678</v>
      </c>
      <c r="F62">
        <v>1.1000000000000001</v>
      </c>
      <c r="G62">
        <v>7635</v>
      </c>
      <c r="H62">
        <f t="shared" si="0"/>
        <v>10385</v>
      </c>
    </row>
    <row r="63" spans="5:8">
      <c r="E63" t="s">
        <v>1679</v>
      </c>
      <c r="F63">
        <v>1.26</v>
      </c>
      <c r="G63">
        <v>8255</v>
      </c>
      <c r="H63">
        <f t="shared" si="0"/>
        <v>11405</v>
      </c>
    </row>
    <row r="64" spans="5:8">
      <c r="E64" t="s">
        <v>1680</v>
      </c>
      <c r="F64">
        <v>0.88</v>
      </c>
      <c r="G64">
        <v>5560</v>
      </c>
      <c r="H64">
        <f t="shared" si="0"/>
        <v>7760</v>
      </c>
    </row>
    <row r="65" spans="5:8">
      <c r="E65" t="s">
        <v>1681</v>
      </c>
      <c r="F65">
        <v>1.04</v>
      </c>
      <c r="G65">
        <v>6980</v>
      </c>
      <c r="H65">
        <f t="shared" si="0"/>
        <v>9580</v>
      </c>
    </row>
    <row r="66" spans="5:8">
      <c r="E66" t="s">
        <v>1682</v>
      </c>
      <c r="F66">
        <v>0.98</v>
      </c>
      <c r="G66">
        <v>6408</v>
      </c>
      <c r="H66">
        <f t="shared" si="0"/>
        <v>8858</v>
      </c>
    </row>
    <row r="67" spans="5:8">
      <c r="E67" t="s">
        <v>1683</v>
      </c>
      <c r="F67">
        <v>1.32</v>
      </c>
      <c r="G67">
        <v>7618</v>
      </c>
      <c r="H67">
        <f t="shared" si="0"/>
        <v>10918</v>
      </c>
    </row>
    <row r="68" spans="5:8">
      <c r="E68" t="s">
        <v>1684</v>
      </c>
      <c r="F68">
        <v>1.28</v>
      </c>
      <c r="G68">
        <v>8469</v>
      </c>
      <c r="H68">
        <f t="shared" ref="H68:H90" si="2">F68*$H$1+G68</f>
        <v>11669</v>
      </c>
    </row>
    <row r="69" spans="5:8">
      <c r="E69" t="s">
        <v>1685</v>
      </c>
      <c r="F69">
        <v>1.68</v>
      </c>
      <c r="G69">
        <v>10578</v>
      </c>
      <c r="H69">
        <f t="shared" si="2"/>
        <v>14778</v>
      </c>
    </row>
    <row r="70" spans="5:8">
      <c r="E70" t="s">
        <v>1686</v>
      </c>
      <c r="F70">
        <v>1.18</v>
      </c>
      <c r="G70">
        <v>6932</v>
      </c>
      <c r="H70">
        <f t="shared" si="2"/>
        <v>9882</v>
      </c>
    </row>
    <row r="71" spans="5:8">
      <c r="E71" t="s">
        <v>1687</v>
      </c>
      <c r="F71">
        <v>1.3</v>
      </c>
      <c r="G71">
        <v>7304</v>
      </c>
      <c r="H71">
        <f t="shared" si="2"/>
        <v>10554</v>
      </c>
    </row>
    <row r="72" spans="5:8">
      <c r="E72" t="s">
        <v>1688</v>
      </c>
      <c r="F72">
        <v>1.52</v>
      </c>
      <c r="G72">
        <v>8613</v>
      </c>
      <c r="H72">
        <f t="shared" si="2"/>
        <v>12413</v>
      </c>
    </row>
    <row r="73" spans="5:8">
      <c r="E73" t="s">
        <v>1689</v>
      </c>
      <c r="F73">
        <v>1.92</v>
      </c>
      <c r="G73">
        <v>11640</v>
      </c>
      <c r="H73">
        <f t="shared" si="2"/>
        <v>16440</v>
      </c>
    </row>
    <row r="74" spans="5:8">
      <c r="E74" t="s">
        <v>1690</v>
      </c>
      <c r="F74">
        <v>1.66</v>
      </c>
      <c r="G74">
        <v>8818</v>
      </c>
      <c r="H74">
        <f t="shared" si="2"/>
        <v>12968</v>
      </c>
    </row>
    <row r="75" spans="5:8">
      <c r="E75" t="s">
        <v>1691</v>
      </c>
      <c r="F75">
        <v>1.8</v>
      </c>
      <c r="G75">
        <v>9161</v>
      </c>
      <c r="H75">
        <f t="shared" si="2"/>
        <v>13661</v>
      </c>
    </row>
    <row r="76" spans="5:8">
      <c r="E76" t="s">
        <v>1692</v>
      </c>
      <c r="F76">
        <v>2.2400000000000002</v>
      </c>
      <c r="G76">
        <v>12947</v>
      </c>
      <c r="H76">
        <f t="shared" si="2"/>
        <v>18547</v>
      </c>
    </row>
    <row r="77" spans="5:8">
      <c r="E77" t="s">
        <v>1693</v>
      </c>
      <c r="F77">
        <v>2.08</v>
      </c>
      <c r="G77">
        <v>13056</v>
      </c>
      <c r="H77">
        <f t="shared" si="2"/>
        <v>18256</v>
      </c>
    </row>
    <row r="78" spans="5:8">
      <c r="E78" t="s">
        <v>1694</v>
      </c>
      <c r="F78">
        <v>2.56</v>
      </c>
      <c r="G78">
        <v>14810</v>
      </c>
      <c r="H78">
        <f t="shared" si="2"/>
        <v>21210</v>
      </c>
    </row>
    <row r="79" spans="5:8">
      <c r="E79" t="s">
        <v>1695</v>
      </c>
      <c r="F79">
        <v>2</v>
      </c>
      <c r="G79">
        <v>11854</v>
      </c>
      <c r="H79">
        <f t="shared" si="2"/>
        <v>16854</v>
      </c>
    </row>
    <row r="80" spans="5:8">
      <c r="E80" t="s">
        <v>1696</v>
      </c>
      <c r="F80">
        <v>2.16</v>
      </c>
      <c r="G80">
        <v>12926</v>
      </c>
      <c r="H80">
        <f t="shared" si="2"/>
        <v>18326</v>
      </c>
    </row>
    <row r="81" spans="5:8">
      <c r="E81" t="s">
        <v>1697</v>
      </c>
      <c r="F81">
        <v>2.68</v>
      </c>
      <c r="G81">
        <v>12836</v>
      </c>
      <c r="H81">
        <f t="shared" si="2"/>
        <v>19536</v>
      </c>
    </row>
    <row r="82" spans="5:8">
      <c r="E82" t="s">
        <v>1698</v>
      </c>
      <c r="F82">
        <v>2.48</v>
      </c>
      <c r="G82">
        <v>15431</v>
      </c>
      <c r="H82">
        <f t="shared" si="2"/>
        <v>21631</v>
      </c>
    </row>
    <row r="83" spans="5:8">
      <c r="E83" t="s">
        <v>1699</v>
      </c>
      <c r="F83">
        <v>3.04</v>
      </c>
      <c r="G83">
        <v>16154</v>
      </c>
      <c r="H83">
        <f t="shared" si="2"/>
        <v>23754</v>
      </c>
    </row>
    <row r="84" spans="5:8">
      <c r="E84" t="s">
        <v>1700</v>
      </c>
      <c r="F84">
        <v>2.16</v>
      </c>
      <c r="G84">
        <v>12588</v>
      </c>
      <c r="H84">
        <f t="shared" si="2"/>
        <v>17988</v>
      </c>
    </row>
    <row r="85" spans="5:8">
      <c r="E85" t="s">
        <v>1701</v>
      </c>
      <c r="F85">
        <v>2.52</v>
      </c>
      <c r="G85">
        <v>14630</v>
      </c>
      <c r="H85">
        <f t="shared" si="2"/>
        <v>20930</v>
      </c>
    </row>
    <row r="86" spans="5:8">
      <c r="E86" t="s">
        <v>1702</v>
      </c>
      <c r="F86">
        <v>3.12</v>
      </c>
      <c r="G86">
        <v>16903</v>
      </c>
      <c r="H86">
        <f t="shared" si="2"/>
        <v>24703</v>
      </c>
    </row>
    <row r="87" spans="5:8">
      <c r="E87" t="s">
        <v>1703</v>
      </c>
      <c r="F87">
        <v>2.88</v>
      </c>
      <c r="G87">
        <v>18189</v>
      </c>
      <c r="H87">
        <f t="shared" si="2"/>
        <v>25389</v>
      </c>
    </row>
    <row r="88" spans="5:8">
      <c r="E88" t="s">
        <v>1704</v>
      </c>
      <c r="F88">
        <v>3.52</v>
      </c>
      <c r="G88">
        <v>22763</v>
      </c>
      <c r="H88">
        <f t="shared" si="2"/>
        <v>31563</v>
      </c>
    </row>
    <row r="89" spans="5:8">
      <c r="E89" t="s">
        <v>1705</v>
      </c>
      <c r="F89">
        <v>2.88</v>
      </c>
      <c r="G89">
        <v>20245</v>
      </c>
      <c r="H89">
        <f t="shared" si="2"/>
        <v>27445</v>
      </c>
    </row>
    <row r="90" spans="5:8">
      <c r="E90" t="s">
        <v>1706</v>
      </c>
      <c r="F90">
        <v>3.56</v>
      </c>
      <c r="G90">
        <v>22810</v>
      </c>
      <c r="H90">
        <f t="shared" si="2"/>
        <v>31710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"/>
  <sheetViews>
    <sheetView topLeftCell="F1" workbookViewId="0">
      <selection activeCell="R4" sqref="R4"/>
    </sheetView>
  </sheetViews>
  <sheetFormatPr defaultRowHeight="15"/>
  <cols>
    <col min="1" max="1" width="17" customWidth="1"/>
    <col min="2" max="2" width="5.28515625" customWidth="1"/>
    <col min="3" max="3" width="5.85546875" customWidth="1"/>
    <col min="4" max="4" width="6.140625" customWidth="1"/>
    <col min="5" max="5" width="5.140625" customWidth="1"/>
    <col min="6" max="6" width="4.42578125" customWidth="1"/>
    <col min="7" max="13" width="10.42578125" customWidth="1"/>
    <col min="14" max="14" width="13.140625" customWidth="1"/>
    <col min="15" max="19" width="10.7109375" customWidth="1"/>
    <col min="20" max="20" width="19.85546875" customWidth="1"/>
    <col min="21" max="21" width="12.5703125" customWidth="1"/>
    <col min="22" max="22" width="12.28515625" customWidth="1"/>
    <col min="23" max="23" width="41" customWidth="1"/>
    <col min="24" max="24" width="10.42578125" customWidth="1"/>
    <col min="25" max="28" width="10.28515625" customWidth="1"/>
    <col min="29" max="29" width="10.7109375" style="93" customWidth="1"/>
    <col min="30" max="30" width="66.85546875" style="93" customWidth="1"/>
    <col min="31" max="31" width="10.5703125" style="93" customWidth="1"/>
    <col min="32" max="32" width="16.7109375" customWidth="1"/>
    <col min="33" max="33" width="14.85546875" customWidth="1"/>
    <col min="34" max="34" width="9.140625" customWidth="1"/>
  </cols>
  <sheetData>
    <row r="1" spans="1:33" ht="15.75" thickBot="1">
      <c r="J1">
        <v>1.3</v>
      </c>
      <c r="K1">
        <v>0.95</v>
      </c>
      <c r="N1" s="226" t="s">
        <v>53</v>
      </c>
      <c r="O1" s="226"/>
      <c r="P1" s="226"/>
      <c r="Q1" s="226"/>
      <c r="R1" s="226"/>
      <c r="S1" s="226"/>
    </row>
    <row r="2" spans="1:33" ht="90">
      <c r="B2" s="220" t="s">
        <v>698</v>
      </c>
      <c r="C2" s="221"/>
      <c r="D2" s="221"/>
      <c r="E2" s="221"/>
      <c r="F2" s="221"/>
      <c r="G2" s="222"/>
      <c r="H2" s="188" t="s">
        <v>1469</v>
      </c>
      <c r="I2" s="188" t="s">
        <v>1431</v>
      </c>
      <c r="J2" s="188" t="s">
        <v>1477</v>
      </c>
      <c r="K2" s="188" t="s">
        <v>1473</v>
      </c>
      <c r="L2" s="188" t="s">
        <v>1567</v>
      </c>
      <c r="M2" s="188"/>
      <c r="N2" s="194" t="s">
        <v>1475</v>
      </c>
      <c r="O2" s="195" t="s">
        <v>1476</v>
      </c>
      <c r="P2" s="188" t="s">
        <v>1474</v>
      </c>
      <c r="Q2" s="188" t="s">
        <v>1470</v>
      </c>
      <c r="R2" s="188" t="s">
        <v>1471</v>
      </c>
      <c r="S2" s="188" t="s">
        <v>1472</v>
      </c>
      <c r="T2" s="223" t="s">
        <v>87</v>
      </c>
      <c r="U2" s="224"/>
      <c r="V2" s="225" t="s">
        <v>734</v>
      </c>
      <c r="W2" s="225"/>
      <c r="X2" s="225"/>
      <c r="Y2" s="10">
        <v>72.569999999999993</v>
      </c>
      <c r="Z2" s="189" t="s">
        <v>1467</v>
      </c>
      <c r="AA2" s="189" t="s">
        <v>1468</v>
      </c>
      <c r="AB2" s="10"/>
      <c r="AD2" s="178" t="s">
        <v>1465</v>
      </c>
      <c r="AF2" s="189" t="s">
        <v>1467</v>
      </c>
      <c r="AG2" s="189" t="s">
        <v>1468</v>
      </c>
    </row>
    <row r="3" spans="1:33" ht="36.75" thickBot="1">
      <c r="A3" s="184"/>
      <c r="B3" s="38">
        <v>300</v>
      </c>
      <c r="C3" s="25">
        <v>200</v>
      </c>
      <c r="D3" s="25">
        <v>150</v>
      </c>
      <c r="E3" s="25" t="s">
        <v>0</v>
      </c>
      <c r="F3" s="25">
        <v>1</v>
      </c>
      <c r="G3" s="39" t="s">
        <v>1</v>
      </c>
      <c r="H3" s="185">
        <f>2*(B3*C3+C3*D3+B3*D3)/1000000</f>
        <v>0.27</v>
      </c>
      <c r="I3" s="185">
        <v>5707.0046659006657</v>
      </c>
      <c r="J3" s="185">
        <f>I3*$J$1</f>
        <v>7419.106065670866</v>
      </c>
      <c r="K3" s="185">
        <f>S3*$K$1</f>
        <v>8269.2749999999996</v>
      </c>
      <c r="L3" s="203">
        <f>K3/0.75</f>
        <v>11025.699999999999</v>
      </c>
      <c r="M3" s="203">
        <f>ROUND(L3,0)</f>
        <v>11026</v>
      </c>
      <c r="N3" s="190" t="s">
        <v>569</v>
      </c>
      <c r="O3" s="10">
        <v>11606</v>
      </c>
      <c r="P3" s="161">
        <f>O3*0.75</f>
        <v>8704.5</v>
      </c>
      <c r="Q3" s="161">
        <f t="shared" ref="Q3:Q46" si="0">P3/H3</f>
        <v>32238.888888888887</v>
      </c>
      <c r="R3" s="193">
        <v>32238.888888888887</v>
      </c>
      <c r="S3" s="193">
        <f>R3*H3</f>
        <v>8704.5</v>
      </c>
      <c r="T3" s="36" t="s">
        <v>673</v>
      </c>
      <c r="U3" s="179">
        <v>8690</v>
      </c>
      <c r="V3" s="182">
        <v>1002600</v>
      </c>
      <c r="W3" s="183" t="s">
        <v>736</v>
      </c>
      <c r="X3" s="88">
        <v>172.1</v>
      </c>
      <c r="Y3" s="10">
        <f>X3*$Y$2</f>
        <v>12489.296999999999</v>
      </c>
      <c r="Z3" s="141" t="s">
        <v>1087</v>
      </c>
      <c r="AA3" s="109" t="s">
        <v>1088</v>
      </c>
      <c r="AB3" s="109"/>
    </row>
    <row r="4" spans="1:33" ht="15.75" thickBot="1">
      <c r="B4" s="38">
        <v>300</v>
      </c>
      <c r="C4" s="25">
        <v>250</v>
      </c>
      <c r="D4" s="25">
        <v>150</v>
      </c>
      <c r="E4" s="25" t="s">
        <v>0</v>
      </c>
      <c r="F4" s="25">
        <v>1</v>
      </c>
      <c r="G4" s="39" t="s">
        <v>2</v>
      </c>
      <c r="H4" s="185">
        <f t="shared" ref="H4:H46" si="1">2*(B4*C4+C4*D4+B4*D4)/1000000</f>
        <v>0.315</v>
      </c>
      <c r="I4" s="185"/>
      <c r="J4" s="185">
        <f t="shared" ref="J4:J46" si="2">I4*$J$1</f>
        <v>0</v>
      </c>
      <c r="K4" s="185">
        <f t="shared" ref="K4:K46" si="3">S4*$K$1</f>
        <v>6594.9559222262533</v>
      </c>
      <c r="L4" s="203">
        <f t="shared" ref="L4:L46" si="4">K4/0.75</f>
        <v>8793.2745629683377</v>
      </c>
      <c r="M4" s="203">
        <f t="shared" ref="M4:M46" si="5">ROUND(L4,0)</f>
        <v>8793</v>
      </c>
      <c r="N4" s="191"/>
      <c r="O4" s="10"/>
      <c r="P4" s="161">
        <f>O4*0.75</f>
        <v>0</v>
      </c>
      <c r="Q4" s="161">
        <f t="shared" si="0"/>
        <v>0</v>
      </c>
      <c r="R4" s="193">
        <v>22038.282112702604</v>
      </c>
      <c r="S4" s="193">
        <f t="shared" ref="S4:S46" si="6">R4*H4</f>
        <v>6942.0588655013198</v>
      </c>
      <c r="T4" s="32"/>
      <c r="U4" s="85"/>
      <c r="V4" s="10"/>
      <c r="W4" s="10"/>
      <c r="X4" s="10"/>
      <c r="Y4" s="10">
        <f t="shared" ref="Y4:Y56" si="7">X4*$Y$2</f>
        <v>0</v>
      </c>
      <c r="Z4" s="10"/>
      <c r="AA4" s="10"/>
      <c r="AB4" s="10"/>
      <c r="AC4" s="181" t="s">
        <v>1303</v>
      </c>
      <c r="AD4" s="98" t="s">
        <v>1304</v>
      </c>
      <c r="AE4" s="165">
        <v>16614.36</v>
      </c>
      <c r="AF4" s="166" t="s">
        <v>1379</v>
      </c>
      <c r="AG4" s="167" t="s">
        <v>1380</v>
      </c>
    </row>
    <row r="5" spans="1:33" ht="15.75" thickBot="1">
      <c r="B5" s="38">
        <v>300</v>
      </c>
      <c r="C5" s="25">
        <v>300</v>
      </c>
      <c r="D5" s="25">
        <v>150</v>
      </c>
      <c r="E5" s="25" t="s">
        <v>0</v>
      </c>
      <c r="F5" s="25">
        <v>1</v>
      </c>
      <c r="G5" s="39" t="s">
        <v>3</v>
      </c>
      <c r="H5" s="185">
        <f t="shared" si="1"/>
        <v>0.36</v>
      </c>
      <c r="I5" s="185"/>
      <c r="J5" s="185">
        <f t="shared" si="2"/>
        <v>0</v>
      </c>
      <c r="K5" s="185">
        <f t="shared" si="3"/>
        <v>6873.0187734484662</v>
      </c>
      <c r="L5" s="203">
        <f t="shared" si="4"/>
        <v>9164.0250312646222</v>
      </c>
      <c r="M5" s="203">
        <f t="shared" si="5"/>
        <v>9164</v>
      </c>
      <c r="N5" s="191"/>
      <c r="O5" s="10"/>
      <c r="P5" s="161">
        <f t="shared" ref="P5:P46" si="8">O5*0.75</f>
        <v>0</v>
      </c>
      <c r="Q5" s="161">
        <f t="shared" si="0"/>
        <v>0</v>
      </c>
      <c r="R5" s="193">
        <v>20096.546121194348</v>
      </c>
      <c r="S5" s="193">
        <f t="shared" si="6"/>
        <v>7234.756603629965</v>
      </c>
      <c r="T5" s="32"/>
      <c r="U5" s="85"/>
      <c r="V5" s="10"/>
      <c r="W5" s="10"/>
      <c r="X5" s="10"/>
      <c r="Y5" s="10">
        <f t="shared" si="7"/>
        <v>0</v>
      </c>
      <c r="Z5" s="10"/>
      <c r="AA5" s="10"/>
      <c r="AB5" s="10"/>
      <c r="AC5" s="181" t="s">
        <v>1299</v>
      </c>
      <c r="AD5" s="98" t="s">
        <v>1300</v>
      </c>
      <c r="AE5" s="165">
        <v>17311.45</v>
      </c>
      <c r="AF5" s="166" t="s">
        <v>1381</v>
      </c>
      <c r="AG5" s="167" t="s">
        <v>1382</v>
      </c>
    </row>
    <row r="6" spans="1:33" ht="36.75" thickBot="1">
      <c r="B6" s="38">
        <v>300</v>
      </c>
      <c r="C6" s="25">
        <v>400</v>
      </c>
      <c r="D6" s="25">
        <v>150</v>
      </c>
      <c r="E6" s="25" t="s">
        <v>0</v>
      </c>
      <c r="F6" s="25">
        <v>1</v>
      </c>
      <c r="G6" s="39" t="s">
        <v>4</v>
      </c>
      <c r="H6" s="185">
        <f t="shared" si="1"/>
        <v>0.45</v>
      </c>
      <c r="I6" s="185"/>
      <c r="J6" s="185">
        <f t="shared" si="2"/>
        <v>0</v>
      </c>
      <c r="K6" s="185">
        <f t="shared" si="3"/>
        <v>9298.125</v>
      </c>
      <c r="L6" s="203">
        <f t="shared" si="4"/>
        <v>12397.5</v>
      </c>
      <c r="M6" s="203">
        <f t="shared" si="5"/>
        <v>12398</v>
      </c>
      <c r="N6" s="190" t="s">
        <v>570</v>
      </c>
      <c r="O6" s="10">
        <v>13050</v>
      </c>
      <c r="P6" s="161">
        <f t="shared" si="8"/>
        <v>9787.5</v>
      </c>
      <c r="Q6" s="161">
        <f t="shared" si="0"/>
        <v>21750</v>
      </c>
      <c r="R6" s="193">
        <v>21750</v>
      </c>
      <c r="S6" s="193">
        <f t="shared" si="6"/>
        <v>9787.5</v>
      </c>
      <c r="T6" s="36" t="s">
        <v>675</v>
      </c>
      <c r="U6" s="179">
        <v>9790</v>
      </c>
      <c r="V6" s="182">
        <v>1004600</v>
      </c>
      <c r="W6" s="183" t="s">
        <v>738</v>
      </c>
      <c r="X6" s="88">
        <v>199.20999999999998</v>
      </c>
      <c r="Y6" s="10">
        <f t="shared" si="7"/>
        <v>14456.669699999997</v>
      </c>
      <c r="Z6" s="141" t="s">
        <v>1449</v>
      </c>
      <c r="AA6" s="109" t="s">
        <v>1450</v>
      </c>
      <c r="AB6" s="109"/>
      <c r="AC6" s="181" t="s">
        <v>1301</v>
      </c>
      <c r="AD6" s="98" t="s">
        <v>1302</v>
      </c>
      <c r="AE6" s="165">
        <v>18689.830000000002</v>
      </c>
      <c r="AF6" s="166" t="s">
        <v>1383</v>
      </c>
      <c r="AG6" s="167" t="s">
        <v>1384</v>
      </c>
    </row>
    <row r="7" spans="1:33" ht="15.75" thickBot="1">
      <c r="B7" s="38">
        <v>300</v>
      </c>
      <c r="C7" s="25">
        <v>400</v>
      </c>
      <c r="D7" s="25">
        <v>200</v>
      </c>
      <c r="E7" s="25" t="s">
        <v>0</v>
      </c>
      <c r="F7" s="25">
        <v>1</v>
      </c>
      <c r="G7" s="39" t="s">
        <v>5</v>
      </c>
      <c r="H7" s="185">
        <f t="shared" si="1"/>
        <v>0.52</v>
      </c>
      <c r="I7" s="185"/>
      <c r="J7" s="185">
        <f t="shared" si="2"/>
        <v>0</v>
      </c>
      <c r="K7" s="185">
        <f t="shared" si="3"/>
        <v>9544.8972463945302</v>
      </c>
      <c r="L7" s="203">
        <f t="shared" si="4"/>
        <v>12726.529661859373</v>
      </c>
      <c r="M7" s="203">
        <f t="shared" si="5"/>
        <v>12727</v>
      </c>
      <c r="N7" s="191"/>
      <c r="O7" s="10"/>
      <c r="P7" s="161">
        <f t="shared" si="8"/>
        <v>0</v>
      </c>
      <c r="Q7" s="161">
        <f t="shared" si="0"/>
        <v>0</v>
      </c>
      <c r="R7" s="193">
        <v>19321.6543449282</v>
      </c>
      <c r="S7" s="193">
        <f t="shared" si="6"/>
        <v>10047.260259362663</v>
      </c>
      <c r="T7" s="32"/>
      <c r="U7" s="85"/>
      <c r="V7" s="182">
        <v>1011600</v>
      </c>
      <c r="W7" s="183" t="s">
        <v>746</v>
      </c>
      <c r="X7" s="88">
        <v>206.09</v>
      </c>
      <c r="Y7" s="10">
        <f t="shared" si="7"/>
        <v>14955.951299999999</v>
      </c>
      <c r="Z7" s="141" t="s">
        <v>1451</v>
      </c>
      <c r="AA7" s="109" t="s">
        <v>1452</v>
      </c>
      <c r="AB7" s="109"/>
    </row>
    <row r="8" spans="1:33" ht="36.75" thickBot="1">
      <c r="B8" s="38">
        <v>400</v>
      </c>
      <c r="C8" s="25">
        <v>300</v>
      </c>
      <c r="D8" s="25">
        <v>150</v>
      </c>
      <c r="E8" s="25" t="s">
        <v>0</v>
      </c>
      <c r="F8" s="25">
        <v>1</v>
      </c>
      <c r="G8" s="39" t="s">
        <v>6</v>
      </c>
      <c r="H8" s="185">
        <f t="shared" si="1"/>
        <v>0.45</v>
      </c>
      <c r="I8" s="185"/>
      <c r="J8" s="185">
        <f t="shared" si="2"/>
        <v>0</v>
      </c>
      <c r="K8" s="185">
        <f t="shared" si="3"/>
        <v>9298.125</v>
      </c>
      <c r="L8" s="203">
        <f t="shared" si="4"/>
        <v>12397.5</v>
      </c>
      <c r="M8" s="203">
        <f t="shared" si="5"/>
        <v>12398</v>
      </c>
      <c r="N8" s="190" t="s">
        <v>571</v>
      </c>
      <c r="O8" s="10">
        <v>13197</v>
      </c>
      <c r="P8" s="161">
        <f t="shared" si="8"/>
        <v>9897.75</v>
      </c>
      <c r="Q8" s="161">
        <f t="shared" si="0"/>
        <v>21995</v>
      </c>
      <c r="R8" s="193">
        <v>21750</v>
      </c>
      <c r="S8" s="193">
        <f t="shared" si="6"/>
        <v>9787.5</v>
      </c>
      <c r="T8" s="36" t="s">
        <v>677</v>
      </c>
      <c r="U8" s="179">
        <v>9900</v>
      </c>
      <c r="V8" s="10"/>
      <c r="W8" s="10"/>
      <c r="X8" s="10" t="s">
        <v>1466</v>
      </c>
      <c r="Y8" s="10" t="e">
        <f t="shared" si="7"/>
        <v>#VALUE!</v>
      </c>
      <c r="Z8" s="10"/>
      <c r="AA8" s="10"/>
      <c r="AB8" s="10"/>
      <c r="AC8" s="181" t="s">
        <v>1305</v>
      </c>
      <c r="AD8" s="98" t="s">
        <v>1306</v>
      </c>
      <c r="AE8" s="165">
        <v>18748.7</v>
      </c>
      <c r="AF8" s="166" t="s">
        <v>1385</v>
      </c>
      <c r="AG8" s="167" t="s">
        <v>1386</v>
      </c>
    </row>
    <row r="9" spans="1:33" ht="36.75" thickBot="1">
      <c r="B9" s="38">
        <v>400</v>
      </c>
      <c r="C9" s="25">
        <v>300</v>
      </c>
      <c r="D9" s="25">
        <v>200</v>
      </c>
      <c r="E9" s="25" t="s">
        <v>0</v>
      </c>
      <c r="F9" s="25">
        <v>1</v>
      </c>
      <c r="G9" s="39" t="s">
        <v>7</v>
      </c>
      <c r="H9" s="185">
        <f t="shared" si="1"/>
        <v>0.52</v>
      </c>
      <c r="I9" s="185"/>
      <c r="J9" s="185">
        <f t="shared" si="2"/>
        <v>0</v>
      </c>
      <c r="K9" s="185">
        <f t="shared" si="3"/>
        <v>9544.8972463945302</v>
      </c>
      <c r="L9" s="203">
        <f t="shared" si="4"/>
        <v>12726.529661859373</v>
      </c>
      <c r="M9" s="203">
        <f t="shared" si="5"/>
        <v>12727</v>
      </c>
      <c r="N9" s="191"/>
      <c r="O9" s="10"/>
      <c r="P9" s="161">
        <f t="shared" si="8"/>
        <v>0</v>
      </c>
      <c r="Q9" s="161">
        <f t="shared" si="0"/>
        <v>0</v>
      </c>
      <c r="R9" s="193">
        <v>19321.6543449282</v>
      </c>
      <c r="S9" s="193">
        <f t="shared" si="6"/>
        <v>10047.260259362663</v>
      </c>
      <c r="T9" s="36" t="s">
        <v>679</v>
      </c>
      <c r="U9" s="179">
        <v>10230</v>
      </c>
      <c r="V9" s="182">
        <v>1005600</v>
      </c>
      <c r="W9" s="183" t="s">
        <v>739</v>
      </c>
      <c r="X9" s="88">
        <v>212.2</v>
      </c>
      <c r="Y9" s="10">
        <f t="shared" si="7"/>
        <v>15399.353999999998</v>
      </c>
      <c r="Z9" s="141" t="s">
        <v>1063</v>
      </c>
      <c r="AA9" s="109" t="s">
        <v>1064</v>
      </c>
      <c r="AB9" s="109"/>
      <c r="AC9" s="181" t="s">
        <v>1307</v>
      </c>
      <c r="AD9" s="98" t="s">
        <v>1308</v>
      </c>
      <c r="AE9" s="165">
        <v>21738.47</v>
      </c>
      <c r="AF9" s="166" t="s">
        <v>1387</v>
      </c>
      <c r="AG9" s="167" t="s">
        <v>1388</v>
      </c>
    </row>
    <row r="10" spans="1:33" ht="36.75" thickBot="1">
      <c r="B10" s="38">
        <v>400</v>
      </c>
      <c r="C10" s="25">
        <v>400</v>
      </c>
      <c r="D10" s="25">
        <v>200</v>
      </c>
      <c r="E10" s="25" t="s">
        <v>0</v>
      </c>
      <c r="F10" s="25">
        <v>1</v>
      </c>
      <c r="G10" s="39" t="s">
        <v>8</v>
      </c>
      <c r="H10" s="185">
        <f t="shared" si="1"/>
        <v>0.64</v>
      </c>
      <c r="I10" s="185"/>
      <c r="J10" s="185">
        <f t="shared" si="2"/>
        <v>0</v>
      </c>
      <c r="K10" s="185">
        <f t="shared" si="3"/>
        <v>11198.362499999999</v>
      </c>
      <c r="L10" s="203">
        <f t="shared" si="4"/>
        <v>14931.15</v>
      </c>
      <c r="M10" s="203">
        <f t="shared" si="5"/>
        <v>14931</v>
      </c>
      <c r="N10" s="190" t="s">
        <v>572</v>
      </c>
      <c r="O10" s="10">
        <v>15717</v>
      </c>
      <c r="P10" s="161">
        <f t="shared" si="8"/>
        <v>11787.75</v>
      </c>
      <c r="Q10" s="161">
        <f t="shared" si="0"/>
        <v>18418.359375</v>
      </c>
      <c r="R10" s="193">
        <v>18418.359375</v>
      </c>
      <c r="S10" s="193">
        <f t="shared" si="6"/>
        <v>11787.75</v>
      </c>
      <c r="T10" s="36" t="s">
        <v>681</v>
      </c>
      <c r="U10" s="179">
        <v>11770</v>
      </c>
      <c r="V10" s="182">
        <v>1006600</v>
      </c>
      <c r="W10" s="183" t="s">
        <v>740</v>
      </c>
      <c r="X10" s="88">
        <v>233.54</v>
      </c>
      <c r="Y10" s="10">
        <f t="shared" si="7"/>
        <v>16947.997799999997</v>
      </c>
      <c r="Z10" s="141" t="s">
        <v>1453</v>
      </c>
      <c r="AA10" s="109" t="s">
        <v>1454</v>
      </c>
      <c r="AB10" s="109"/>
      <c r="AC10" s="181" t="s">
        <v>1309</v>
      </c>
      <c r="AD10" s="98" t="s">
        <v>1310</v>
      </c>
      <c r="AE10" s="165">
        <v>24290.12</v>
      </c>
      <c r="AF10" s="166" t="s">
        <v>1389</v>
      </c>
      <c r="AG10" s="167" t="s">
        <v>1390</v>
      </c>
    </row>
    <row r="11" spans="1:33" ht="36.75" thickBot="1">
      <c r="B11" s="38">
        <v>400</v>
      </c>
      <c r="C11" s="25">
        <v>600</v>
      </c>
      <c r="D11" s="25">
        <v>200</v>
      </c>
      <c r="E11" s="25" t="s">
        <v>0</v>
      </c>
      <c r="F11" s="25">
        <v>1</v>
      </c>
      <c r="G11" s="39" t="s">
        <v>9</v>
      </c>
      <c r="H11" s="185">
        <f t="shared" si="1"/>
        <v>0.88</v>
      </c>
      <c r="I11" s="185"/>
      <c r="J11" s="185">
        <f t="shared" si="2"/>
        <v>0</v>
      </c>
      <c r="K11" s="185">
        <f t="shared" si="3"/>
        <v>13994.2125</v>
      </c>
      <c r="L11" s="203">
        <f t="shared" si="4"/>
        <v>18658.95</v>
      </c>
      <c r="M11" s="203">
        <f t="shared" si="5"/>
        <v>18659</v>
      </c>
      <c r="N11" s="191"/>
      <c r="O11" s="10"/>
      <c r="P11" s="161">
        <f t="shared" si="8"/>
        <v>0</v>
      </c>
      <c r="Q11" s="161">
        <f t="shared" si="0"/>
        <v>0</v>
      </c>
      <c r="R11" s="193">
        <v>16739.488636363636</v>
      </c>
      <c r="S11" s="193">
        <f t="shared" si="6"/>
        <v>14730.75</v>
      </c>
      <c r="T11" s="36" t="s">
        <v>683</v>
      </c>
      <c r="U11" s="179">
        <v>12980</v>
      </c>
      <c r="V11" s="182">
        <v>1009600</v>
      </c>
      <c r="W11" s="183" t="s">
        <v>743</v>
      </c>
      <c r="X11" s="88">
        <v>291.74</v>
      </c>
      <c r="Y11" s="10">
        <f t="shared" si="7"/>
        <v>21171.571799999998</v>
      </c>
      <c r="Z11" s="141" t="s">
        <v>1455</v>
      </c>
      <c r="AA11" s="109" t="s">
        <v>1456</v>
      </c>
      <c r="AB11" s="109"/>
      <c r="AC11" s="181" t="s">
        <v>1311</v>
      </c>
      <c r="AD11" s="98" t="s">
        <v>1312</v>
      </c>
      <c r="AE11" s="165">
        <v>28028.69</v>
      </c>
      <c r="AF11" s="166" t="s">
        <v>1391</v>
      </c>
      <c r="AG11" s="167" t="s">
        <v>1392</v>
      </c>
    </row>
    <row r="12" spans="1:33" ht="15.75" thickBot="1">
      <c r="B12" s="38">
        <v>500</v>
      </c>
      <c r="C12" s="25">
        <v>300</v>
      </c>
      <c r="D12" s="25">
        <v>150</v>
      </c>
      <c r="E12" s="25" t="s">
        <v>0</v>
      </c>
      <c r="F12" s="25">
        <v>2</v>
      </c>
      <c r="G12" s="39" t="s">
        <v>10</v>
      </c>
      <c r="H12" s="185">
        <f t="shared" si="1"/>
        <v>0.54</v>
      </c>
      <c r="I12" s="185"/>
      <c r="J12" s="185">
        <f t="shared" si="2"/>
        <v>0</v>
      </c>
      <c r="K12" s="185">
        <f t="shared" si="3"/>
        <v>9728.3574115372867</v>
      </c>
      <c r="L12" s="203">
        <f t="shared" si="4"/>
        <v>12971.143215383048</v>
      </c>
      <c r="M12" s="203">
        <f t="shared" si="5"/>
        <v>12971</v>
      </c>
      <c r="N12" s="191"/>
      <c r="O12" s="10"/>
      <c r="P12" s="161">
        <f t="shared" si="8"/>
        <v>0</v>
      </c>
      <c r="Q12" s="161">
        <f t="shared" si="0"/>
        <v>0</v>
      </c>
      <c r="R12" s="193">
        <v>18963.659671612644</v>
      </c>
      <c r="S12" s="193">
        <f t="shared" si="6"/>
        <v>10240.376222670828</v>
      </c>
      <c r="T12" s="32"/>
      <c r="U12" s="85"/>
      <c r="V12" s="10"/>
      <c r="W12" s="10"/>
      <c r="X12" s="10"/>
      <c r="Y12" s="10">
        <f t="shared" si="7"/>
        <v>0</v>
      </c>
      <c r="Z12" s="10"/>
      <c r="AA12" s="10"/>
      <c r="AB12" s="10"/>
      <c r="AC12" s="181" t="s">
        <v>1313</v>
      </c>
      <c r="AD12" s="98" t="s">
        <v>1314</v>
      </c>
      <c r="AE12" s="165">
        <v>20366.02</v>
      </c>
      <c r="AF12" s="166" t="s">
        <v>1393</v>
      </c>
      <c r="AG12" s="167" t="s">
        <v>1394</v>
      </c>
    </row>
    <row r="13" spans="1:33" ht="15.75" thickBot="1">
      <c r="B13" s="38">
        <v>500</v>
      </c>
      <c r="C13" s="25">
        <v>300</v>
      </c>
      <c r="D13" s="25">
        <v>200</v>
      </c>
      <c r="E13" s="25" t="s">
        <v>0</v>
      </c>
      <c r="F13" s="25">
        <v>2</v>
      </c>
      <c r="G13" s="39" t="s">
        <v>11</v>
      </c>
      <c r="H13" s="185">
        <f t="shared" si="1"/>
        <v>0.62</v>
      </c>
      <c r="I13" s="185"/>
      <c r="J13" s="185">
        <f t="shared" si="2"/>
        <v>0</v>
      </c>
      <c r="K13" s="185">
        <f t="shared" si="3"/>
        <v>11115.632298945529</v>
      </c>
      <c r="L13" s="203">
        <f t="shared" si="4"/>
        <v>14820.843065260706</v>
      </c>
      <c r="M13" s="203">
        <f t="shared" si="5"/>
        <v>14821</v>
      </c>
      <c r="N13" s="191"/>
      <c r="O13" s="10"/>
      <c r="P13" s="161">
        <f t="shared" si="8"/>
        <v>0</v>
      </c>
      <c r="Q13" s="161">
        <f t="shared" si="0"/>
        <v>0</v>
      </c>
      <c r="R13" s="193">
        <v>18872.041254576452</v>
      </c>
      <c r="S13" s="193">
        <f t="shared" si="6"/>
        <v>11700.665577837401</v>
      </c>
      <c r="T13" s="32"/>
      <c r="U13" s="85"/>
      <c r="V13" s="10"/>
      <c r="W13" s="10"/>
      <c r="X13" s="10"/>
      <c r="Y13" s="10">
        <f t="shared" si="7"/>
        <v>0</v>
      </c>
      <c r="Z13" s="10"/>
      <c r="AA13" s="10"/>
      <c r="AB13" s="10"/>
      <c r="AC13" s="181" t="s">
        <v>1315</v>
      </c>
      <c r="AD13" s="98" t="s">
        <v>1316</v>
      </c>
      <c r="AE13" s="165">
        <v>24177.61</v>
      </c>
      <c r="AF13" s="166" t="s">
        <v>1395</v>
      </c>
      <c r="AG13" s="167" t="s">
        <v>1396</v>
      </c>
    </row>
    <row r="14" spans="1:33" ht="36.75" thickBot="1">
      <c r="B14" s="38">
        <v>500</v>
      </c>
      <c r="C14" s="25">
        <v>400</v>
      </c>
      <c r="D14" s="25">
        <v>200</v>
      </c>
      <c r="E14" s="25" t="s">
        <v>0</v>
      </c>
      <c r="F14" s="25">
        <v>2</v>
      </c>
      <c r="G14" s="39" t="s">
        <v>12</v>
      </c>
      <c r="H14" s="185">
        <f t="shared" si="1"/>
        <v>0.76</v>
      </c>
      <c r="I14" s="185"/>
      <c r="J14" s="185">
        <f t="shared" si="2"/>
        <v>0</v>
      </c>
      <c r="K14" s="185">
        <f t="shared" si="3"/>
        <v>13095.750000000002</v>
      </c>
      <c r="L14" s="203">
        <f t="shared" si="4"/>
        <v>17461.000000000004</v>
      </c>
      <c r="M14" s="203">
        <f t="shared" si="5"/>
        <v>17461</v>
      </c>
      <c r="N14" s="190" t="s">
        <v>573</v>
      </c>
      <c r="O14" s="10">
        <v>18380</v>
      </c>
      <c r="P14" s="161">
        <f t="shared" si="8"/>
        <v>13785</v>
      </c>
      <c r="Q14" s="161">
        <f t="shared" si="0"/>
        <v>18138.157894736843</v>
      </c>
      <c r="R14" s="193">
        <v>18138.157894736843</v>
      </c>
      <c r="S14" s="193">
        <f t="shared" si="6"/>
        <v>13785.000000000002</v>
      </c>
      <c r="T14" s="36" t="s">
        <v>685</v>
      </c>
      <c r="U14" s="179">
        <v>13750</v>
      </c>
      <c r="V14" s="182">
        <v>1015600</v>
      </c>
      <c r="W14" s="183" t="s">
        <v>750</v>
      </c>
      <c r="X14" s="88">
        <v>277.23</v>
      </c>
      <c r="Y14" s="10">
        <f t="shared" si="7"/>
        <v>20118.581099999999</v>
      </c>
      <c r="Z14" s="141" t="s">
        <v>1084</v>
      </c>
      <c r="AA14" s="109" t="s">
        <v>1085</v>
      </c>
      <c r="AB14" s="109"/>
      <c r="AC14" s="181" t="s">
        <v>1317</v>
      </c>
      <c r="AD14" s="98" t="s">
        <v>1318</v>
      </c>
      <c r="AE14" s="165">
        <v>26310.67</v>
      </c>
      <c r="AF14" s="166" t="s">
        <v>1397</v>
      </c>
      <c r="AG14" s="167" t="s">
        <v>1398</v>
      </c>
    </row>
    <row r="15" spans="1:33" ht="36.75" thickBot="1">
      <c r="B15" s="38">
        <v>500</v>
      </c>
      <c r="C15" s="25">
        <v>500</v>
      </c>
      <c r="D15" s="25">
        <v>200</v>
      </c>
      <c r="E15" s="25" t="s">
        <v>0</v>
      </c>
      <c r="F15" s="25">
        <v>2</v>
      </c>
      <c r="G15" s="39" t="s">
        <v>13</v>
      </c>
      <c r="H15" s="185">
        <f t="shared" si="1"/>
        <v>0.9</v>
      </c>
      <c r="I15" s="185"/>
      <c r="J15" s="185">
        <f t="shared" si="2"/>
        <v>0</v>
      </c>
      <c r="K15" s="185">
        <f t="shared" si="3"/>
        <v>14710.275</v>
      </c>
      <c r="L15" s="203">
        <f t="shared" si="4"/>
        <v>19613.7</v>
      </c>
      <c r="M15" s="203">
        <f t="shared" si="5"/>
        <v>19614</v>
      </c>
      <c r="N15" s="190" t="s">
        <v>574</v>
      </c>
      <c r="O15" s="10">
        <v>20646</v>
      </c>
      <c r="P15" s="161">
        <f t="shared" si="8"/>
        <v>15484.5</v>
      </c>
      <c r="Q15" s="161">
        <f t="shared" si="0"/>
        <v>17205</v>
      </c>
      <c r="R15" s="193">
        <v>17205</v>
      </c>
      <c r="S15" s="193">
        <f t="shared" si="6"/>
        <v>15484.5</v>
      </c>
      <c r="T15" s="36" t="s">
        <v>687</v>
      </c>
      <c r="U15" s="179">
        <v>15510</v>
      </c>
      <c r="V15" s="182">
        <v>1007600</v>
      </c>
      <c r="W15" s="183" t="s">
        <v>741</v>
      </c>
      <c r="X15" s="88">
        <v>306.77999999999997</v>
      </c>
      <c r="Y15" s="10">
        <f t="shared" si="7"/>
        <v>22263.024599999997</v>
      </c>
      <c r="Z15" s="141" t="s">
        <v>1457</v>
      </c>
      <c r="AA15" s="109" t="s">
        <v>1458</v>
      </c>
      <c r="AB15" s="109"/>
      <c r="AC15" s="181" t="s">
        <v>1321</v>
      </c>
      <c r="AD15" s="98" t="s">
        <v>1322</v>
      </c>
      <c r="AE15" s="165">
        <v>28436.78</v>
      </c>
      <c r="AF15" s="166" t="s">
        <v>1399</v>
      </c>
      <c r="AG15" s="167" t="s">
        <v>1400</v>
      </c>
    </row>
    <row r="16" spans="1:33" ht="15.75" thickBot="1">
      <c r="B16" s="38">
        <v>500</v>
      </c>
      <c r="C16" s="25">
        <v>600</v>
      </c>
      <c r="D16" s="25">
        <v>200</v>
      </c>
      <c r="E16" s="25" t="s">
        <v>0</v>
      </c>
      <c r="F16" s="25">
        <v>2</v>
      </c>
      <c r="G16" s="39" t="s">
        <v>14</v>
      </c>
      <c r="H16" s="185">
        <f t="shared" si="1"/>
        <v>1.04</v>
      </c>
      <c r="I16" s="185"/>
      <c r="J16" s="185">
        <f t="shared" si="2"/>
        <v>0</v>
      </c>
      <c r="K16" s="185">
        <f t="shared" si="3"/>
        <v>17550.186366093203</v>
      </c>
      <c r="L16" s="203">
        <f t="shared" si="4"/>
        <v>23400.248488124271</v>
      </c>
      <c r="M16" s="203">
        <f t="shared" si="5"/>
        <v>23400</v>
      </c>
      <c r="N16" s="191"/>
      <c r="O16" s="10"/>
      <c r="P16" s="161">
        <f t="shared" si="8"/>
        <v>0</v>
      </c>
      <c r="Q16" s="161">
        <f t="shared" si="0"/>
        <v>0</v>
      </c>
      <c r="R16" s="193">
        <v>17763.346524385834</v>
      </c>
      <c r="S16" s="193">
        <f t="shared" si="6"/>
        <v>18473.880385361266</v>
      </c>
      <c r="T16" s="32"/>
      <c r="U16" s="85"/>
      <c r="V16" s="10"/>
      <c r="W16" s="10"/>
      <c r="X16" s="10"/>
      <c r="Y16" s="10">
        <f t="shared" si="7"/>
        <v>0</v>
      </c>
      <c r="Z16" s="10"/>
      <c r="AA16" s="10"/>
      <c r="AB16" s="10"/>
    </row>
    <row r="17" spans="2:33" ht="15.75" thickBot="1">
      <c r="B17" s="38">
        <v>500</v>
      </c>
      <c r="C17" s="25">
        <v>400</v>
      </c>
      <c r="D17" s="25">
        <v>250</v>
      </c>
      <c r="E17" s="25" t="s">
        <v>0</v>
      </c>
      <c r="F17" s="25">
        <v>2</v>
      </c>
      <c r="G17" s="39" t="s">
        <v>15</v>
      </c>
      <c r="H17" s="185">
        <f t="shared" si="1"/>
        <v>0.85</v>
      </c>
      <c r="I17" s="185"/>
      <c r="J17" s="185">
        <f t="shared" si="2"/>
        <v>0</v>
      </c>
      <c r="K17" s="185">
        <f t="shared" si="3"/>
        <v>14859.280781476122</v>
      </c>
      <c r="L17" s="203">
        <f t="shared" si="4"/>
        <v>19812.374375301497</v>
      </c>
      <c r="M17" s="203">
        <f t="shared" si="5"/>
        <v>19812</v>
      </c>
      <c r="N17" s="191"/>
      <c r="O17" s="10"/>
      <c r="P17" s="161">
        <f t="shared" si="8"/>
        <v>0</v>
      </c>
      <c r="Q17" s="161">
        <f t="shared" si="0"/>
        <v>0</v>
      </c>
      <c r="R17" s="193">
        <v>18401.586107091174</v>
      </c>
      <c r="S17" s="193">
        <f t="shared" si="6"/>
        <v>15641.348191027497</v>
      </c>
      <c r="T17" s="32"/>
      <c r="U17" s="85"/>
      <c r="V17" s="10"/>
      <c r="W17" s="10"/>
      <c r="X17" s="10"/>
      <c r="Y17" s="10">
        <f t="shared" si="7"/>
        <v>0</v>
      </c>
      <c r="Z17" s="10"/>
      <c r="AA17" s="10"/>
      <c r="AB17" s="10"/>
      <c r="AC17" s="181" t="s">
        <v>1319</v>
      </c>
      <c r="AD17" s="98" t="s">
        <v>1320</v>
      </c>
      <c r="AE17" s="165">
        <v>29500.639999999999</v>
      </c>
      <c r="AF17" s="102" t="s">
        <v>1401</v>
      </c>
      <c r="AG17" s="103" t="s">
        <v>1402</v>
      </c>
    </row>
    <row r="18" spans="2:33">
      <c r="B18" s="38">
        <v>500</v>
      </c>
      <c r="C18" s="25">
        <v>500</v>
      </c>
      <c r="D18" s="25">
        <v>300</v>
      </c>
      <c r="E18" s="25" t="s">
        <v>0</v>
      </c>
      <c r="F18" s="25">
        <v>2</v>
      </c>
      <c r="G18" s="39" t="s">
        <v>16</v>
      </c>
      <c r="H18" s="185">
        <f t="shared" si="1"/>
        <v>1.1000000000000001</v>
      </c>
      <c r="I18" s="185"/>
      <c r="J18" s="185">
        <f t="shared" si="2"/>
        <v>0</v>
      </c>
      <c r="K18" s="185">
        <f t="shared" si="3"/>
        <v>18599.178452676857</v>
      </c>
      <c r="L18" s="203">
        <f t="shared" si="4"/>
        <v>24798.904603569143</v>
      </c>
      <c r="M18" s="203">
        <f t="shared" si="5"/>
        <v>24799</v>
      </c>
      <c r="N18" s="191"/>
      <c r="O18" s="10"/>
      <c r="P18" s="161">
        <f t="shared" si="8"/>
        <v>0</v>
      </c>
      <c r="Q18" s="161">
        <f t="shared" si="0"/>
        <v>0</v>
      </c>
      <c r="R18" s="193">
        <v>17798.256892513738</v>
      </c>
      <c r="S18" s="193">
        <f t="shared" si="6"/>
        <v>19578.082581765113</v>
      </c>
      <c r="T18" s="32"/>
      <c r="U18" s="85"/>
      <c r="V18" s="182">
        <v>1013600</v>
      </c>
      <c r="W18" s="183" t="s">
        <v>748</v>
      </c>
      <c r="X18" s="88">
        <v>360.72</v>
      </c>
      <c r="Y18" s="10">
        <f t="shared" si="7"/>
        <v>26177.450399999998</v>
      </c>
      <c r="Z18" s="141" t="s">
        <v>1081</v>
      </c>
      <c r="AA18" s="109" t="s">
        <v>1082</v>
      </c>
      <c r="AB18" s="109"/>
    </row>
    <row r="19" spans="2:33" ht="15.75" thickBot="1">
      <c r="B19" s="38">
        <v>500</v>
      </c>
      <c r="C19" s="25">
        <v>600</v>
      </c>
      <c r="D19" s="25">
        <v>300</v>
      </c>
      <c r="E19" s="25" t="s">
        <v>0</v>
      </c>
      <c r="F19" s="25">
        <v>2</v>
      </c>
      <c r="G19" s="39" t="s">
        <v>17</v>
      </c>
      <c r="H19" s="185">
        <f t="shared" si="1"/>
        <v>1.26</v>
      </c>
      <c r="I19" s="185"/>
      <c r="J19" s="185">
        <f t="shared" si="2"/>
        <v>0</v>
      </c>
      <c r="K19" s="185">
        <f t="shared" si="3"/>
        <v>20917.878551428181</v>
      </c>
      <c r="L19" s="203">
        <f t="shared" si="4"/>
        <v>27890.504735237573</v>
      </c>
      <c r="M19" s="203">
        <f t="shared" si="5"/>
        <v>27891</v>
      </c>
      <c r="N19" s="191"/>
      <c r="O19" s="10"/>
      <c r="P19" s="161">
        <f t="shared" si="8"/>
        <v>0</v>
      </c>
      <c r="Q19" s="161">
        <f t="shared" si="0"/>
        <v>0</v>
      </c>
      <c r="R19" s="193">
        <v>17475.253593507252</v>
      </c>
      <c r="S19" s="193">
        <f t="shared" si="6"/>
        <v>22018.819527819138</v>
      </c>
      <c r="T19" s="32"/>
      <c r="U19" s="85"/>
      <c r="V19" s="10"/>
      <c r="W19" s="10"/>
      <c r="X19" s="10"/>
      <c r="Y19" s="10">
        <f t="shared" si="7"/>
        <v>0</v>
      </c>
      <c r="Z19" s="10"/>
      <c r="AA19" s="10"/>
      <c r="AB19" s="10"/>
    </row>
    <row r="20" spans="2:33" ht="36.75" thickBot="1">
      <c r="B20" s="38">
        <v>600</v>
      </c>
      <c r="C20" s="25">
        <v>400</v>
      </c>
      <c r="D20" s="25">
        <v>200</v>
      </c>
      <c r="E20" s="25" t="s">
        <v>0</v>
      </c>
      <c r="F20" s="25">
        <v>2</v>
      </c>
      <c r="G20" s="39" t="s">
        <v>18</v>
      </c>
      <c r="H20" s="185">
        <f t="shared" si="1"/>
        <v>0.88</v>
      </c>
      <c r="I20" s="185"/>
      <c r="J20" s="185">
        <f t="shared" si="2"/>
        <v>0</v>
      </c>
      <c r="K20" s="185">
        <f t="shared" si="3"/>
        <v>13994.2125</v>
      </c>
      <c r="L20" s="203">
        <f t="shared" si="4"/>
        <v>18658.95</v>
      </c>
      <c r="M20" s="203">
        <f t="shared" si="5"/>
        <v>18659</v>
      </c>
      <c r="N20" s="190" t="s">
        <v>575</v>
      </c>
      <c r="O20" s="10">
        <v>19641</v>
      </c>
      <c r="P20" s="161">
        <f t="shared" si="8"/>
        <v>14730.75</v>
      </c>
      <c r="Q20" s="161">
        <f t="shared" si="0"/>
        <v>16739.488636363636</v>
      </c>
      <c r="R20" s="193">
        <v>16739.488636363636</v>
      </c>
      <c r="S20" s="193">
        <f t="shared" si="6"/>
        <v>14730.75</v>
      </c>
      <c r="T20" s="36" t="s">
        <v>689</v>
      </c>
      <c r="U20" s="179">
        <v>14740</v>
      </c>
      <c r="V20" s="182">
        <v>1008600</v>
      </c>
      <c r="W20" s="183" t="s">
        <v>742</v>
      </c>
      <c r="X20" s="88">
        <v>292.62</v>
      </c>
      <c r="Y20" s="10">
        <f t="shared" si="7"/>
        <v>21235.433399999998</v>
      </c>
      <c r="Z20" s="141" t="s">
        <v>1459</v>
      </c>
      <c r="AA20" s="109" t="s">
        <v>1460</v>
      </c>
      <c r="AB20" s="109"/>
      <c r="AC20" s="181" t="s">
        <v>1323</v>
      </c>
      <c r="AD20" s="98" t="s">
        <v>1324</v>
      </c>
      <c r="AE20" s="165">
        <v>28225.02</v>
      </c>
      <c r="AF20" s="166" t="s">
        <v>1403</v>
      </c>
      <c r="AG20" s="167" t="s">
        <v>1404</v>
      </c>
    </row>
    <row r="21" spans="2:33" ht="15.75" thickBot="1">
      <c r="B21" s="38">
        <v>600</v>
      </c>
      <c r="C21" s="25">
        <v>500</v>
      </c>
      <c r="D21" s="25">
        <v>200</v>
      </c>
      <c r="E21" s="25" t="s">
        <v>0</v>
      </c>
      <c r="F21" s="25">
        <v>2</v>
      </c>
      <c r="G21" s="39" t="s">
        <v>19</v>
      </c>
      <c r="H21" s="185">
        <f t="shared" si="1"/>
        <v>1.04</v>
      </c>
      <c r="I21" s="185"/>
      <c r="J21" s="185">
        <f t="shared" si="2"/>
        <v>0</v>
      </c>
      <c r="K21" s="185">
        <f t="shared" si="3"/>
        <v>17550.186366093203</v>
      </c>
      <c r="L21" s="203">
        <f t="shared" si="4"/>
        <v>23400.248488124271</v>
      </c>
      <c r="M21" s="203">
        <f t="shared" si="5"/>
        <v>23400</v>
      </c>
      <c r="N21" s="191"/>
      <c r="O21" s="10"/>
      <c r="P21" s="161">
        <f t="shared" si="8"/>
        <v>0</v>
      </c>
      <c r="Q21" s="161">
        <f t="shared" si="0"/>
        <v>0</v>
      </c>
      <c r="R21" s="193">
        <v>17763.346524385834</v>
      </c>
      <c r="S21" s="193">
        <f t="shared" si="6"/>
        <v>18473.880385361266</v>
      </c>
      <c r="T21" s="32"/>
      <c r="U21" s="85"/>
      <c r="V21" s="10"/>
      <c r="W21" s="10"/>
      <c r="X21" s="10"/>
      <c r="Y21" s="10">
        <f t="shared" si="7"/>
        <v>0</v>
      </c>
      <c r="Z21" s="10"/>
      <c r="AA21" s="10"/>
      <c r="AB21" s="10"/>
    </row>
    <row r="22" spans="2:33" ht="15.75" thickBot="1">
      <c r="B22" s="38">
        <v>600</v>
      </c>
      <c r="C22" s="25">
        <v>400</v>
      </c>
      <c r="D22" s="25">
        <v>250</v>
      </c>
      <c r="E22" s="25" t="s">
        <v>0</v>
      </c>
      <c r="F22" s="25">
        <v>2</v>
      </c>
      <c r="G22" s="39" t="s">
        <v>20</v>
      </c>
      <c r="H22" s="185">
        <f t="shared" si="1"/>
        <v>0.98</v>
      </c>
      <c r="I22" s="185">
        <v>20028.05449778014</v>
      </c>
      <c r="J22" s="185">
        <f t="shared" si="2"/>
        <v>26036.470847114182</v>
      </c>
      <c r="K22" s="185">
        <f t="shared" si="3"/>
        <v>16783.813530733438</v>
      </c>
      <c r="L22" s="203">
        <f t="shared" si="4"/>
        <v>22378.418040977918</v>
      </c>
      <c r="M22" s="203">
        <f t="shared" si="5"/>
        <v>22378</v>
      </c>
      <c r="N22" s="191"/>
      <c r="O22" s="10"/>
      <c r="P22" s="161">
        <f t="shared" si="8"/>
        <v>0</v>
      </c>
      <c r="Q22" s="161">
        <f t="shared" si="0"/>
        <v>0</v>
      </c>
      <c r="R22" s="193">
        <v>18027.726671034845</v>
      </c>
      <c r="S22" s="193">
        <f t="shared" si="6"/>
        <v>17667.172137614147</v>
      </c>
      <c r="T22" s="32"/>
      <c r="U22" s="85"/>
      <c r="V22" s="10"/>
      <c r="W22" s="10"/>
      <c r="X22" s="10"/>
      <c r="Y22" s="10">
        <f t="shared" si="7"/>
        <v>0</v>
      </c>
      <c r="Z22" s="10"/>
      <c r="AA22" s="10"/>
      <c r="AB22" s="10"/>
      <c r="AC22" s="181" t="s">
        <v>1327</v>
      </c>
      <c r="AD22" s="98" t="s">
        <v>1328</v>
      </c>
      <c r="AE22" s="165">
        <v>31496.47</v>
      </c>
      <c r="AF22" s="166" t="s">
        <v>1405</v>
      </c>
      <c r="AG22" s="167" t="s">
        <v>1406</v>
      </c>
    </row>
    <row r="23" spans="2:33" ht="36.75" thickBot="1">
      <c r="B23" s="38">
        <v>600</v>
      </c>
      <c r="C23" s="25">
        <v>600</v>
      </c>
      <c r="D23" s="25">
        <v>250</v>
      </c>
      <c r="E23" s="25" t="s">
        <v>0</v>
      </c>
      <c r="F23" s="25">
        <v>2</v>
      </c>
      <c r="G23" s="39" t="s">
        <v>21</v>
      </c>
      <c r="H23" s="185">
        <f t="shared" si="1"/>
        <v>1.32</v>
      </c>
      <c r="I23" s="185"/>
      <c r="J23" s="185">
        <f t="shared" si="2"/>
        <v>0</v>
      </c>
      <c r="K23" s="185">
        <f t="shared" si="3"/>
        <v>19860.9375</v>
      </c>
      <c r="L23" s="203">
        <f t="shared" si="4"/>
        <v>26481.25</v>
      </c>
      <c r="M23" s="203">
        <f t="shared" si="5"/>
        <v>26481</v>
      </c>
      <c r="N23" s="190" t="s">
        <v>576</v>
      </c>
      <c r="O23" s="10">
        <v>27875</v>
      </c>
      <c r="P23" s="161">
        <f t="shared" si="8"/>
        <v>20906.25</v>
      </c>
      <c r="Q23" s="161">
        <f t="shared" si="0"/>
        <v>15838.06818181818</v>
      </c>
      <c r="R23" s="193">
        <v>15838.06818181818</v>
      </c>
      <c r="S23" s="193">
        <f t="shared" si="6"/>
        <v>20906.25</v>
      </c>
      <c r="T23" s="36" t="s">
        <v>691</v>
      </c>
      <c r="U23" s="179">
        <v>20900</v>
      </c>
      <c r="V23" s="182">
        <v>1010600</v>
      </c>
      <c r="W23" s="183" t="s">
        <v>745</v>
      </c>
      <c r="X23" s="88">
        <v>375.24</v>
      </c>
      <c r="Y23" s="10">
        <f t="shared" si="7"/>
        <v>27231.166799999999</v>
      </c>
      <c r="Z23" s="141" t="s">
        <v>1078</v>
      </c>
      <c r="AA23" s="109" t="s">
        <v>1079</v>
      </c>
      <c r="AB23" s="109"/>
      <c r="AC23" s="181" t="s">
        <v>1331</v>
      </c>
      <c r="AD23" s="98" t="s">
        <v>1332</v>
      </c>
      <c r="AE23" s="165">
        <v>36638.32</v>
      </c>
      <c r="AF23" s="166" t="s">
        <v>1407</v>
      </c>
      <c r="AG23" s="167" t="s">
        <v>1408</v>
      </c>
    </row>
    <row r="24" spans="2:33" ht="15.75" thickBot="1">
      <c r="B24" s="38">
        <v>600</v>
      </c>
      <c r="C24" s="25">
        <v>400</v>
      </c>
      <c r="D24" s="25">
        <v>400</v>
      </c>
      <c r="E24" s="25" t="s">
        <v>0</v>
      </c>
      <c r="F24" s="25">
        <v>2</v>
      </c>
      <c r="G24" s="39" t="s">
        <v>22</v>
      </c>
      <c r="H24" s="185">
        <f t="shared" si="1"/>
        <v>1.28</v>
      </c>
      <c r="I24" s="185"/>
      <c r="J24" s="185">
        <f t="shared" si="2"/>
        <v>0</v>
      </c>
      <c r="K24" s="185">
        <f t="shared" si="3"/>
        <v>21004.229829681244</v>
      </c>
      <c r="L24" s="203">
        <f t="shared" si="4"/>
        <v>28005.639772908326</v>
      </c>
      <c r="M24" s="203">
        <f t="shared" si="5"/>
        <v>28006</v>
      </c>
      <c r="N24" s="191"/>
      <c r="O24" s="10"/>
      <c r="P24" s="161">
        <f t="shared" si="8"/>
        <v>0</v>
      </c>
      <c r="Q24" s="161">
        <f t="shared" si="0"/>
        <v>0</v>
      </c>
      <c r="R24" s="193">
        <v>17273.21532046155</v>
      </c>
      <c r="S24" s="193">
        <f t="shared" si="6"/>
        <v>22109.715610190786</v>
      </c>
      <c r="T24" s="32"/>
      <c r="U24" s="85"/>
      <c r="V24" s="10"/>
      <c r="W24" s="10"/>
      <c r="X24" s="10"/>
      <c r="Y24" s="10">
        <f t="shared" si="7"/>
        <v>0</v>
      </c>
      <c r="Z24" s="10"/>
      <c r="AA24" s="10"/>
      <c r="AB24" s="10"/>
      <c r="AC24" s="181" t="s">
        <v>1325</v>
      </c>
      <c r="AD24" s="98" t="s">
        <v>1326</v>
      </c>
      <c r="AE24" s="165">
        <v>52433.47</v>
      </c>
      <c r="AF24" s="166" t="s">
        <v>1409</v>
      </c>
      <c r="AG24" s="167" t="s">
        <v>1410</v>
      </c>
    </row>
    <row r="25" spans="2:33" ht="15.75" thickBot="1">
      <c r="B25" s="38">
        <v>600</v>
      </c>
      <c r="C25" s="25">
        <v>600</v>
      </c>
      <c r="D25" s="25">
        <v>400</v>
      </c>
      <c r="E25" s="25" t="s">
        <v>0</v>
      </c>
      <c r="F25" s="25">
        <v>2</v>
      </c>
      <c r="G25" s="39" t="s">
        <v>23</v>
      </c>
      <c r="H25" s="185">
        <f t="shared" si="1"/>
        <v>1.68</v>
      </c>
      <c r="I25" s="185"/>
      <c r="J25" s="185">
        <f t="shared" si="2"/>
        <v>0</v>
      </c>
      <c r="K25" s="185">
        <f t="shared" si="3"/>
        <v>26223.732998979111</v>
      </c>
      <c r="L25" s="203">
        <f t="shared" si="4"/>
        <v>34964.97733197215</v>
      </c>
      <c r="M25" s="203">
        <f t="shared" si="5"/>
        <v>34965</v>
      </c>
      <c r="N25" s="191"/>
      <c r="O25" s="10"/>
      <c r="P25" s="161">
        <f t="shared" si="8"/>
        <v>0</v>
      </c>
      <c r="Q25" s="161">
        <f t="shared" si="0"/>
        <v>0</v>
      </c>
      <c r="R25" s="193">
        <v>16430.910400362853</v>
      </c>
      <c r="S25" s="193">
        <f t="shared" si="6"/>
        <v>27603.92947260959</v>
      </c>
      <c r="T25" s="32"/>
      <c r="U25" s="85"/>
      <c r="V25" s="10"/>
      <c r="W25" s="10"/>
      <c r="X25" s="10"/>
      <c r="Y25" s="10">
        <f t="shared" si="7"/>
        <v>0</v>
      </c>
      <c r="Z25" s="10"/>
      <c r="AA25" s="10"/>
      <c r="AB25" s="10"/>
      <c r="AC25" s="181" t="s">
        <v>1329</v>
      </c>
      <c r="AD25" s="98" t="s">
        <v>1330</v>
      </c>
      <c r="AE25" s="165">
        <v>53373.94</v>
      </c>
      <c r="AF25" s="166" t="s">
        <v>1411</v>
      </c>
      <c r="AG25" s="167" t="s">
        <v>1412</v>
      </c>
    </row>
    <row r="26" spans="2:33" ht="15.75" thickBot="1">
      <c r="B26" s="38">
        <v>700</v>
      </c>
      <c r="C26" s="25">
        <v>500</v>
      </c>
      <c r="D26" s="25">
        <v>200</v>
      </c>
      <c r="E26" s="25" t="s">
        <v>0</v>
      </c>
      <c r="F26" s="25">
        <v>2</v>
      </c>
      <c r="G26" s="39" t="s">
        <v>24</v>
      </c>
      <c r="H26" s="185">
        <f t="shared" si="1"/>
        <v>1.18</v>
      </c>
      <c r="I26" s="185"/>
      <c r="J26" s="185">
        <f t="shared" si="2"/>
        <v>0</v>
      </c>
      <c r="K26" s="185">
        <f t="shared" si="3"/>
        <v>19698.770460562097</v>
      </c>
      <c r="L26" s="203">
        <f t="shared" si="4"/>
        <v>26265.027280749462</v>
      </c>
      <c r="M26" s="203">
        <f t="shared" si="5"/>
        <v>26265</v>
      </c>
      <c r="N26" s="191"/>
      <c r="O26" s="10"/>
      <c r="P26" s="161">
        <f t="shared" si="8"/>
        <v>0</v>
      </c>
      <c r="Q26" s="161">
        <f t="shared" si="0"/>
        <v>0</v>
      </c>
      <c r="R26" s="193">
        <v>17572.498180697679</v>
      </c>
      <c r="S26" s="193">
        <f t="shared" si="6"/>
        <v>20735.547853223259</v>
      </c>
      <c r="T26" s="32"/>
      <c r="U26" s="85"/>
      <c r="V26" s="10"/>
      <c r="W26" s="10"/>
      <c r="X26" s="10"/>
      <c r="Y26" s="10">
        <f t="shared" si="7"/>
        <v>0</v>
      </c>
      <c r="Z26" s="10"/>
      <c r="AA26" s="10"/>
      <c r="AB26" s="10"/>
      <c r="AC26" s="181" t="s">
        <v>1335</v>
      </c>
      <c r="AD26" s="98" t="s">
        <v>1336</v>
      </c>
      <c r="AE26" s="165">
        <v>34129.82</v>
      </c>
      <c r="AF26" s="102" t="s">
        <v>1413</v>
      </c>
      <c r="AG26" s="103" t="s">
        <v>1414</v>
      </c>
    </row>
    <row r="27" spans="2:33" ht="36.75" thickBot="1">
      <c r="B27" s="38">
        <v>700</v>
      </c>
      <c r="C27" s="25">
        <v>500</v>
      </c>
      <c r="D27" s="25">
        <v>250</v>
      </c>
      <c r="E27" s="25" t="s">
        <v>0</v>
      </c>
      <c r="F27" s="25">
        <v>2</v>
      </c>
      <c r="G27" s="39" t="s">
        <v>25</v>
      </c>
      <c r="H27" s="185">
        <f t="shared" si="1"/>
        <v>1.3</v>
      </c>
      <c r="I27" s="185"/>
      <c r="J27" s="185">
        <f t="shared" si="2"/>
        <v>0</v>
      </c>
      <c r="K27" s="185">
        <f t="shared" si="3"/>
        <v>19488.3</v>
      </c>
      <c r="L27" s="203">
        <f t="shared" si="4"/>
        <v>25984.399999999998</v>
      </c>
      <c r="M27" s="203">
        <f t="shared" si="5"/>
        <v>25984</v>
      </c>
      <c r="N27" s="190" t="s">
        <v>577</v>
      </c>
      <c r="O27" s="10">
        <v>27352</v>
      </c>
      <c r="P27" s="161">
        <f t="shared" si="8"/>
        <v>20514</v>
      </c>
      <c r="Q27" s="161">
        <f t="shared" si="0"/>
        <v>15780</v>
      </c>
      <c r="R27" s="193">
        <v>15780</v>
      </c>
      <c r="S27" s="193">
        <f t="shared" si="6"/>
        <v>20514</v>
      </c>
      <c r="T27" s="36" t="s">
        <v>693</v>
      </c>
      <c r="U27" s="179">
        <v>20570</v>
      </c>
      <c r="V27" s="10"/>
      <c r="W27" s="10"/>
      <c r="X27" s="10"/>
      <c r="Y27" s="10">
        <f t="shared" si="7"/>
        <v>0</v>
      </c>
      <c r="Z27" s="10"/>
      <c r="AA27" s="10"/>
      <c r="AB27" s="10"/>
      <c r="AC27" s="181" t="s">
        <v>1337</v>
      </c>
      <c r="AD27" s="98" t="s">
        <v>1338</v>
      </c>
      <c r="AE27" s="165">
        <v>37672.089999999997</v>
      </c>
      <c r="AF27" s="166" t="s">
        <v>1415</v>
      </c>
      <c r="AG27" s="167" t="s">
        <v>1416</v>
      </c>
    </row>
    <row r="28" spans="2:33">
      <c r="B28" s="38">
        <v>800</v>
      </c>
      <c r="C28" s="25">
        <v>600</v>
      </c>
      <c r="D28" s="25">
        <v>200</v>
      </c>
      <c r="E28" s="25" t="s">
        <v>0</v>
      </c>
      <c r="F28" s="25">
        <v>2</v>
      </c>
      <c r="G28" s="39" t="s">
        <v>26</v>
      </c>
      <c r="H28" s="185">
        <f t="shared" si="1"/>
        <v>1.52</v>
      </c>
      <c r="I28" s="185"/>
      <c r="J28" s="185">
        <f t="shared" si="2"/>
        <v>0</v>
      </c>
      <c r="K28" s="185">
        <f t="shared" si="3"/>
        <v>24282.008678914503</v>
      </c>
      <c r="L28" s="203">
        <f t="shared" si="4"/>
        <v>32376.011571886003</v>
      </c>
      <c r="M28" s="203">
        <f t="shared" si="5"/>
        <v>32376</v>
      </c>
      <c r="N28" s="191"/>
      <c r="O28" s="10"/>
      <c r="P28" s="161">
        <f t="shared" si="8"/>
        <v>0</v>
      </c>
      <c r="Q28" s="161">
        <f t="shared" si="0"/>
        <v>0</v>
      </c>
      <c r="R28" s="193">
        <v>16815.795484012815</v>
      </c>
      <c r="S28" s="193">
        <f t="shared" si="6"/>
        <v>25560.009135699478</v>
      </c>
      <c r="T28" s="32"/>
      <c r="U28" s="85"/>
      <c r="V28" s="182">
        <v>1012600</v>
      </c>
      <c r="W28" s="183" t="s">
        <v>747</v>
      </c>
      <c r="X28" s="88">
        <v>435.11</v>
      </c>
      <c r="Y28" s="10">
        <f t="shared" si="7"/>
        <v>31575.932699999998</v>
      </c>
      <c r="Z28" s="141" t="s">
        <v>1461</v>
      </c>
      <c r="AA28" s="109" t="s">
        <v>1462</v>
      </c>
      <c r="AB28" s="109"/>
    </row>
    <row r="29" spans="2:33" ht="15.75" thickBot="1">
      <c r="B29" s="38">
        <v>800</v>
      </c>
      <c r="C29" s="25">
        <v>800</v>
      </c>
      <c r="D29" s="25">
        <v>200</v>
      </c>
      <c r="E29" s="25" t="s">
        <v>0</v>
      </c>
      <c r="F29" s="25">
        <v>2</v>
      </c>
      <c r="G29" s="39" t="s">
        <v>27</v>
      </c>
      <c r="H29" s="185">
        <f t="shared" si="1"/>
        <v>1.92</v>
      </c>
      <c r="I29" s="185"/>
      <c r="J29" s="185">
        <f t="shared" si="2"/>
        <v>0</v>
      </c>
      <c r="K29" s="185">
        <f t="shared" si="3"/>
        <v>29019.526195991959</v>
      </c>
      <c r="L29" s="203">
        <f t="shared" si="4"/>
        <v>38692.701594655948</v>
      </c>
      <c r="M29" s="203">
        <f t="shared" si="5"/>
        <v>38693</v>
      </c>
      <c r="N29" s="191"/>
      <c r="O29" s="10"/>
      <c r="P29" s="161">
        <f t="shared" si="8"/>
        <v>0</v>
      </c>
      <c r="Q29" s="161">
        <f t="shared" si="0"/>
        <v>0</v>
      </c>
      <c r="R29" s="193">
        <v>15909.827958328926</v>
      </c>
      <c r="S29" s="193">
        <f t="shared" si="6"/>
        <v>30546.869679991538</v>
      </c>
      <c r="T29" s="32"/>
      <c r="U29" s="85"/>
      <c r="V29" s="10"/>
      <c r="W29" s="10"/>
      <c r="X29" s="10"/>
      <c r="Y29" s="10">
        <f t="shared" si="7"/>
        <v>0</v>
      </c>
      <c r="Z29" s="10"/>
      <c r="AA29" s="10"/>
      <c r="AB29" s="10"/>
    </row>
    <row r="30" spans="2:33" ht="15.75" thickBot="1">
      <c r="B30" s="38">
        <v>800</v>
      </c>
      <c r="C30" s="25">
        <v>600</v>
      </c>
      <c r="D30" s="25">
        <v>250</v>
      </c>
      <c r="E30" s="25" t="s">
        <v>0</v>
      </c>
      <c r="F30" s="25">
        <v>2</v>
      </c>
      <c r="G30" s="39" t="s">
        <v>28</v>
      </c>
      <c r="H30" s="185">
        <f t="shared" si="1"/>
        <v>1.66</v>
      </c>
      <c r="I30" s="185"/>
      <c r="J30" s="185">
        <f t="shared" si="2"/>
        <v>0</v>
      </c>
      <c r="K30" s="185">
        <f t="shared" si="3"/>
        <v>26004.60590271571</v>
      </c>
      <c r="L30" s="203">
        <f t="shared" si="4"/>
        <v>34672.807870287616</v>
      </c>
      <c r="M30" s="203">
        <f t="shared" si="5"/>
        <v>34673</v>
      </c>
      <c r="N30" s="191"/>
      <c r="O30" s="10"/>
      <c r="P30" s="161">
        <f t="shared" si="8"/>
        <v>0</v>
      </c>
      <c r="Q30" s="161">
        <f t="shared" si="0"/>
        <v>0</v>
      </c>
      <c r="R30" s="193">
        <v>16489.921307999819</v>
      </c>
      <c r="S30" s="193">
        <f t="shared" si="6"/>
        <v>27373.269371279697</v>
      </c>
      <c r="T30" s="32"/>
      <c r="U30" s="85"/>
      <c r="V30" s="10"/>
      <c r="W30" s="10"/>
      <c r="X30" s="10"/>
      <c r="Y30" s="10">
        <f t="shared" si="7"/>
        <v>0</v>
      </c>
      <c r="Z30" s="10"/>
      <c r="AA30" s="10"/>
      <c r="AB30" s="10"/>
      <c r="AC30" s="181" t="s">
        <v>1347</v>
      </c>
      <c r="AD30" s="98" t="s">
        <v>1348</v>
      </c>
      <c r="AE30" s="165">
        <v>43740.62</v>
      </c>
      <c r="AF30" s="168" t="s">
        <v>1417</v>
      </c>
      <c r="AG30" s="169" t="s">
        <v>1418</v>
      </c>
    </row>
    <row r="31" spans="2:33" ht="36.75" thickBot="1">
      <c r="B31" s="38">
        <v>800</v>
      </c>
      <c r="C31" s="25">
        <v>600</v>
      </c>
      <c r="D31" s="25">
        <v>300</v>
      </c>
      <c r="E31" s="25" t="s">
        <v>0</v>
      </c>
      <c r="F31" s="25">
        <v>2</v>
      </c>
      <c r="G31" s="39" t="s">
        <v>29</v>
      </c>
      <c r="H31" s="185">
        <f t="shared" si="1"/>
        <v>1.8</v>
      </c>
      <c r="I31" s="185"/>
      <c r="J31" s="185">
        <f t="shared" si="2"/>
        <v>0</v>
      </c>
      <c r="K31" s="185">
        <f t="shared" si="3"/>
        <v>24984.524999999998</v>
      </c>
      <c r="L31" s="203">
        <f t="shared" si="4"/>
        <v>33312.699999999997</v>
      </c>
      <c r="M31" s="203">
        <f t="shared" si="5"/>
        <v>33313</v>
      </c>
      <c r="N31" t="s">
        <v>578</v>
      </c>
      <c r="O31" s="10">
        <v>35066</v>
      </c>
      <c r="P31" s="161">
        <f t="shared" si="8"/>
        <v>26299.5</v>
      </c>
      <c r="Q31" s="161">
        <f t="shared" si="0"/>
        <v>14610.833333333332</v>
      </c>
      <c r="R31" s="193">
        <v>14610.833333333332</v>
      </c>
      <c r="S31" s="193">
        <f t="shared" si="6"/>
        <v>26299.5</v>
      </c>
      <c r="T31" s="36" t="s">
        <v>695</v>
      </c>
      <c r="U31" s="179">
        <v>26400</v>
      </c>
      <c r="V31" s="10"/>
      <c r="W31" s="10"/>
      <c r="X31" s="10"/>
      <c r="Y31" s="10">
        <f t="shared" si="7"/>
        <v>0</v>
      </c>
      <c r="Z31" s="10"/>
      <c r="AA31" s="10"/>
      <c r="AB31" s="10"/>
      <c r="AC31" s="181" t="s">
        <v>1343</v>
      </c>
      <c r="AD31" s="98" t="s">
        <v>1344</v>
      </c>
      <c r="AE31" s="165">
        <v>47769.53</v>
      </c>
      <c r="AF31" s="166" t="s">
        <v>1419</v>
      </c>
      <c r="AG31" s="167" t="s">
        <v>1420</v>
      </c>
    </row>
    <row r="32" spans="2:33" ht="15.75" thickBot="1">
      <c r="B32" s="38">
        <v>800</v>
      </c>
      <c r="C32" s="25">
        <v>800</v>
      </c>
      <c r="D32" s="25">
        <v>300</v>
      </c>
      <c r="E32" s="25" t="s">
        <v>0</v>
      </c>
      <c r="F32" s="25">
        <v>2</v>
      </c>
      <c r="G32" s="39" t="s">
        <v>30</v>
      </c>
      <c r="H32" s="185">
        <f t="shared" si="1"/>
        <v>2.2400000000000002</v>
      </c>
      <c r="I32" s="185"/>
      <c r="J32" s="185">
        <f t="shared" si="2"/>
        <v>0</v>
      </c>
      <c r="K32" s="185">
        <f t="shared" si="3"/>
        <v>32228.002720542139</v>
      </c>
      <c r="L32" s="203">
        <f t="shared" si="4"/>
        <v>42970.670294056188</v>
      </c>
      <c r="M32" s="203">
        <f t="shared" si="5"/>
        <v>42971</v>
      </c>
      <c r="N32" s="191"/>
      <c r="O32" s="10"/>
      <c r="P32" s="161">
        <f t="shared" si="8"/>
        <v>0</v>
      </c>
      <c r="Q32" s="161">
        <f t="shared" si="0"/>
        <v>0</v>
      </c>
      <c r="R32" s="193">
        <v>15144.738120555516</v>
      </c>
      <c r="S32" s="193">
        <f t="shared" si="6"/>
        <v>33924.213390044359</v>
      </c>
      <c r="T32" s="32"/>
      <c r="U32" s="85"/>
      <c r="V32" s="182">
        <v>1014600</v>
      </c>
      <c r="W32" s="183" t="s">
        <v>749</v>
      </c>
      <c r="X32" s="88">
        <v>620.19000000000005</v>
      </c>
      <c r="Y32" s="10">
        <f t="shared" si="7"/>
        <v>45007.188300000002</v>
      </c>
      <c r="Z32" s="141" t="s">
        <v>1054</v>
      </c>
      <c r="AA32" s="109" t="s">
        <v>1055</v>
      </c>
      <c r="AB32" s="109"/>
      <c r="AC32" s="181" t="s">
        <v>1349</v>
      </c>
      <c r="AD32" s="98" t="s">
        <v>1350</v>
      </c>
      <c r="AE32" s="165">
        <v>55054.74</v>
      </c>
      <c r="AF32" s="166" t="s">
        <v>1421</v>
      </c>
      <c r="AG32" s="167" t="s">
        <v>1422</v>
      </c>
    </row>
    <row r="33" spans="2:33" ht="36.75" thickBot="1">
      <c r="B33" s="38">
        <v>800</v>
      </c>
      <c r="C33" s="25">
        <v>600</v>
      </c>
      <c r="D33" s="25">
        <v>400</v>
      </c>
      <c r="E33" s="25" t="s">
        <v>0</v>
      </c>
      <c r="F33" s="25">
        <v>2</v>
      </c>
      <c r="G33" s="39" t="s">
        <v>31</v>
      </c>
      <c r="H33" s="185">
        <f t="shared" si="1"/>
        <v>2.08</v>
      </c>
      <c r="I33" s="185"/>
      <c r="J33" s="185">
        <f t="shared" si="2"/>
        <v>0</v>
      </c>
      <c r="K33" s="185">
        <f t="shared" si="3"/>
        <v>30644.502043500805</v>
      </c>
      <c r="L33" s="203">
        <f t="shared" si="4"/>
        <v>40859.33605800107</v>
      </c>
      <c r="M33" s="203">
        <f t="shared" si="5"/>
        <v>40859</v>
      </c>
      <c r="N33" s="191"/>
      <c r="O33" s="10"/>
      <c r="P33" s="161">
        <f t="shared" si="8"/>
        <v>0</v>
      </c>
      <c r="Q33" s="161">
        <f t="shared" si="0"/>
        <v>0</v>
      </c>
      <c r="R33" s="193">
        <v>15508.351236589477</v>
      </c>
      <c r="S33" s="193">
        <f t="shared" si="6"/>
        <v>32257.370572106112</v>
      </c>
      <c r="T33" s="36" t="s">
        <v>697</v>
      </c>
      <c r="U33" s="179">
        <v>33000</v>
      </c>
      <c r="V33" s="10"/>
      <c r="W33" s="10"/>
      <c r="X33" s="10"/>
      <c r="Y33" s="10">
        <f t="shared" si="7"/>
        <v>0</v>
      </c>
      <c r="Z33" s="10"/>
      <c r="AA33" s="10"/>
      <c r="AB33" s="10"/>
      <c r="AC33" s="181" t="s">
        <v>1345</v>
      </c>
      <c r="AD33" s="98" t="s">
        <v>1346</v>
      </c>
      <c r="AE33" s="165">
        <v>67920.479999999996</v>
      </c>
      <c r="AF33" s="102" t="s">
        <v>1423</v>
      </c>
      <c r="AG33" s="103" t="s">
        <v>1424</v>
      </c>
    </row>
    <row r="34" spans="2:33" ht="15.75" thickBot="1">
      <c r="B34" s="38">
        <v>800</v>
      </c>
      <c r="C34" s="25">
        <v>800</v>
      </c>
      <c r="D34" s="25">
        <v>400</v>
      </c>
      <c r="E34" s="25" t="s">
        <v>0</v>
      </c>
      <c r="F34" s="25">
        <v>2</v>
      </c>
      <c r="G34" s="39" t="s">
        <v>32</v>
      </c>
      <c r="H34" s="185">
        <f t="shared" si="1"/>
        <v>2.56</v>
      </c>
      <c r="I34" s="185"/>
      <c r="J34" s="185">
        <f t="shared" si="2"/>
        <v>0</v>
      </c>
      <c r="K34" s="185">
        <f t="shared" si="3"/>
        <v>34984.065816751681</v>
      </c>
      <c r="L34" s="203">
        <f t="shared" si="4"/>
        <v>46645.421089002244</v>
      </c>
      <c r="M34" s="203">
        <f t="shared" si="5"/>
        <v>46645</v>
      </c>
      <c r="N34" s="191"/>
      <c r="O34" s="10"/>
      <c r="P34" s="161">
        <f t="shared" si="8"/>
        <v>0</v>
      </c>
      <c r="Q34" s="161">
        <f t="shared" si="0"/>
        <v>0</v>
      </c>
      <c r="R34" s="193">
        <v>14384.895483861712</v>
      </c>
      <c r="S34" s="193">
        <f t="shared" si="6"/>
        <v>36825.332438685982</v>
      </c>
      <c r="T34" s="32"/>
      <c r="U34" s="85"/>
      <c r="V34" s="10"/>
      <c r="W34" s="10"/>
      <c r="X34" s="10"/>
      <c r="Y34" s="10">
        <f t="shared" si="7"/>
        <v>0</v>
      </c>
      <c r="Z34" s="10"/>
      <c r="AA34" s="10"/>
      <c r="AB34" s="10"/>
      <c r="AC34" s="181" t="s">
        <v>1351</v>
      </c>
      <c r="AD34" s="98" t="s">
        <v>1352</v>
      </c>
      <c r="AE34" s="165">
        <v>77630.89</v>
      </c>
      <c r="AF34" s="166" t="s">
        <v>1425</v>
      </c>
      <c r="AG34" s="167" t="s">
        <v>1426</v>
      </c>
    </row>
    <row r="35" spans="2:33" ht="15.75" thickBot="1">
      <c r="B35" s="38">
        <v>1000</v>
      </c>
      <c r="C35" s="25">
        <v>600</v>
      </c>
      <c r="D35" s="25">
        <v>250</v>
      </c>
      <c r="E35" s="25" t="s">
        <v>33</v>
      </c>
      <c r="F35" s="25">
        <v>2</v>
      </c>
      <c r="G35" s="39" t="s">
        <v>34</v>
      </c>
      <c r="H35" s="185">
        <f t="shared" si="1"/>
        <v>2</v>
      </c>
      <c r="I35" s="185"/>
      <c r="J35" s="185">
        <f t="shared" si="2"/>
        <v>0</v>
      </c>
      <c r="K35" s="185">
        <f t="shared" si="3"/>
        <v>29823.831704054905</v>
      </c>
      <c r="L35" s="203">
        <f t="shared" si="4"/>
        <v>39765.108938739875</v>
      </c>
      <c r="M35" s="203">
        <f t="shared" si="5"/>
        <v>39765</v>
      </c>
      <c r="N35" s="191"/>
      <c r="O35" s="10"/>
      <c r="P35" s="161">
        <f t="shared" si="8"/>
        <v>0</v>
      </c>
      <c r="Q35" s="161">
        <f t="shared" si="0"/>
        <v>0</v>
      </c>
      <c r="R35" s="193">
        <v>15696.75352844995</v>
      </c>
      <c r="S35" s="193">
        <f t="shared" si="6"/>
        <v>31393.5070568999</v>
      </c>
      <c r="T35" s="32"/>
      <c r="U35" s="85"/>
      <c r="V35" s="10"/>
      <c r="W35" s="10"/>
      <c r="X35" s="10"/>
      <c r="Y35" s="10">
        <f t="shared" si="7"/>
        <v>0</v>
      </c>
      <c r="Z35" s="10"/>
      <c r="AA35" s="10"/>
      <c r="AB35" s="10"/>
      <c r="AC35" s="181" t="s">
        <v>1359</v>
      </c>
      <c r="AD35" s="98" t="s">
        <v>1360</v>
      </c>
      <c r="AE35" s="165">
        <v>49511.53</v>
      </c>
      <c r="AF35" s="166" t="s">
        <v>1427</v>
      </c>
      <c r="AG35" s="167" t="s">
        <v>1428</v>
      </c>
    </row>
    <row r="36" spans="2:33" ht="36.75" thickBot="1">
      <c r="B36" s="38">
        <v>1000</v>
      </c>
      <c r="C36" s="25">
        <v>600</v>
      </c>
      <c r="D36" s="25">
        <v>300</v>
      </c>
      <c r="E36" s="25" t="s">
        <v>33</v>
      </c>
      <c r="F36" s="25">
        <v>2</v>
      </c>
      <c r="G36" s="39" t="s">
        <v>35</v>
      </c>
      <c r="H36" s="185">
        <f t="shared" si="1"/>
        <v>2.16</v>
      </c>
      <c r="I36" s="185"/>
      <c r="J36" s="185">
        <f t="shared" si="2"/>
        <v>0</v>
      </c>
      <c r="K36" s="185">
        <f t="shared" si="3"/>
        <v>31439.35796666333</v>
      </c>
      <c r="L36" s="203">
        <f t="shared" si="4"/>
        <v>41919.14395555111</v>
      </c>
      <c r="M36" s="203">
        <f t="shared" si="5"/>
        <v>41919</v>
      </c>
      <c r="N36" s="191"/>
      <c r="O36" s="10"/>
      <c r="P36" s="161">
        <f t="shared" si="8"/>
        <v>0</v>
      </c>
      <c r="Q36" s="161">
        <f t="shared" si="0"/>
        <v>0</v>
      </c>
      <c r="R36" s="193">
        <v>15321.324545157569</v>
      </c>
      <c r="S36" s="193">
        <f t="shared" si="6"/>
        <v>33094.061017540349</v>
      </c>
      <c r="T36" s="36" t="s">
        <v>667</v>
      </c>
      <c r="U36" s="179">
        <v>33000</v>
      </c>
      <c r="V36" s="10"/>
      <c r="W36" s="10"/>
      <c r="X36" s="10"/>
      <c r="Y36" s="10">
        <f t="shared" si="7"/>
        <v>0</v>
      </c>
      <c r="Z36" s="10"/>
      <c r="AA36" s="10"/>
      <c r="AB36" s="10"/>
      <c r="AC36" s="181" t="s">
        <v>1355</v>
      </c>
      <c r="AD36" s="98" t="s">
        <v>1356</v>
      </c>
      <c r="AE36" s="165">
        <v>53679.97</v>
      </c>
      <c r="AF36" s="166" t="s">
        <v>1429</v>
      </c>
      <c r="AG36" s="167" t="s">
        <v>1430</v>
      </c>
    </row>
    <row r="37" spans="2:33" ht="36.75" thickBot="1">
      <c r="B37" s="38">
        <v>1000</v>
      </c>
      <c r="C37" s="25">
        <v>800</v>
      </c>
      <c r="D37" s="25">
        <v>300</v>
      </c>
      <c r="E37" s="25" t="s">
        <v>33</v>
      </c>
      <c r="F37" s="25">
        <v>2</v>
      </c>
      <c r="G37" s="39" t="s">
        <v>36</v>
      </c>
      <c r="H37" s="185">
        <f t="shared" si="1"/>
        <v>2.68</v>
      </c>
      <c r="I37" s="185"/>
      <c r="J37" s="185">
        <f t="shared" si="2"/>
        <v>0</v>
      </c>
      <c r="K37" s="185">
        <f t="shared" si="3"/>
        <v>33845.174999999996</v>
      </c>
      <c r="L37" s="203">
        <f t="shared" si="4"/>
        <v>45126.899999999994</v>
      </c>
      <c r="M37" s="203">
        <f t="shared" si="5"/>
        <v>45127</v>
      </c>
      <c r="N37" s="190" t="s">
        <v>567</v>
      </c>
      <c r="O37" s="10">
        <v>47502</v>
      </c>
      <c r="P37" s="161">
        <f t="shared" si="8"/>
        <v>35626.5</v>
      </c>
      <c r="Q37" s="161">
        <f t="shared" si="0"/>
        <v>13293.47014925373</v>
      </c>
      <c r="R37" s="193">
        <v>13293.47014925373</v>
      </c>
      <c r="S37" s="193">
        <f t="shared" si="6"/>
        <v>35626.5</v>
      </c>
      <c r="T37" s="36" t="s">
        <v>669</v>
      </c>
      <c r="U37" s="179">
        <v>35750</v>
      </c>
      <c r="V37" s="182">
        <v>1016600</v>
      </c>
      <c r="W37" s="183" t="s">
        <v>751</v>
      </c>
      <c r="X37" s="88">
        <v>704.6</v>
      </c>
      <c r="Y37" s="10">
        <f t="shared" si="7"/>
        <v>51132.822</v>
      </c>
      <c r="Z37" s="141" t="s">
        <v>1057</v>
      </c>
      <c r="AA37" s="109" t="s">
        <v>1058</v>
      </c>
      <c r="AB37" s="109"/>
      <c r="AC37" s="181" t="s">
        <v>1361</v>
      </c>
      <c r="AD37" s="98" t="s">
        <v>1362</v>
      </c>
      <c r="AE37" s="165">
        <v>66091.39</v>
      </c>
      <c r="AF37" s="166" t="s">
        <v>1435</v>
      </c>
      <c r="AG37" s="167" t="s">
        <v>1436</v>
      </c>
    </row>
    <row r="38" spans="2:33" ht="15.75" thickBot="1">
      <c r="B38" s="38">
        <v>1000</v>
      </c>
      <c r="C38" s="25">
        <v>600</v>
      </c>
      <c r="D38" s="25">
        <v>400</v>
      </c>
      <c r="E38" s="25" t="s">
        <v>33</v>
      </c>
      <c r="F38" s="25">
        <v>2</v>
      </c>
      <c r="G38" s="39" t="s">
        <v>37</v>
      </c>
      <c r="H38" s="185">
        <f t="shared" si="1"/>
        <v>2.48</v>
      </c>
      <c r="I38" s="185"/>
      <c r="J38" s="185">
        <f t="shared" si="2"/>
        <v>0</v>
      </c>
      <c r="K38" s="185">
        <f t="shared" si="3"/>
        <v>34386.096953495704</v>
      </c>
      <c r="L38" s="203">
        <f t="shared" si="4"/>
        <v>45848.129271327605</v>
      </c>
      <c r="M38" s="203">
        <f t="shared" si="5"/>
        <v>45848</v>
      </c>
      <c r="N38" s="191"/>
      <c r="O38" s="10"/>
      <c r="P38" s="161">
        <f t="shared" si="8"/>
        <v>0</v>
      </c>
      <c r="Q38" s="161">
        <f t="shared" si="0"/>
        <v>0</v>
      </c>
      <c r="R38" s="193">
        <v>14595.117552417534</v>
      </c>
      <c r="S38" s="193">
        <f t="shared" si="6"/>
        <v>36195.891529995482</v>
      </c>
      <c r="T38" s="32"/>
      <c r="U38" s="85"/>
      <c r="V38" s="10"/>
      <c r="W38" s="10"/>
      <c r="X38" s="10"/>
      <c r="Y38" s="10">
        <f t="shared" si="7"/>
        <v>0</v>
      </c>
      <c r="Z38" s="10"/>
      <c r="AA38" s="10"/>
      <c r="AB38" s="10"/>
      <c r="AC38" s="181" t="s">
        <v>1357</v>
      </c>
      <c r="AD38" s="98" t="s">
        <v>1358</v>
      </c>
      <c r="AE38" s="165">
        <v>75363.41</v>
      </c>
      <c r="AF38" s="166" t="s">
        <v>1437</v>
      </c>
      <c r="AG38" s="167" t="s">
        <v>1438</v>
      </c>
    </row>
    <row r="39" spans="2:33" ht="15.75" thickBot="1">
      <c r="B39" s="38">
        <v>1000</v>
      </c>
      <c r="C39" s="25">
        <v>800</v>
      </c>
      <c r="D39" s="25">
        <v>400</v>
      </c>
      <c r="E39" s="25" t="s">
        <v>33</v>
      </c>
      <c r="F39" s="25">
        <v>2</v>
      </c>
      <c r="G39" s="39" t="s">
        <v>38</v>
      </c>
      <c r="H39" s="185">
        <f t="shared" si="1"/>
        <v>3.04</v>
      </c>
      <c r="I39" s="185"/>
      <c r="J39" s="185">
        <f t="shared" si="2"/>
        <v>0</v>
      </c>
      <c r="K39" s="185">
        <f t="shared" si="3"/>
        <v>38456.401992231957</v>
      </c>
      <c r="L39" s="203">
        <f t="shared" si="4"/>
        <v>51275.202656309273</v>
      </c>
      <c r="M39" s="203">
        <f t="shared" si="5"/>
        <v>51275</v>
      </c>
      <c r="N39" s="191"/>
      <c r="O39" s="10"/>
      <c r="P39" s="161">
        <f t="shared" si="8"/>
        <v>0</v>
      </c>
      <c r="Q39" s="161">
        <f t="shared" si="0"/>
        <v>0</v>
      </c>
      <c r="R39" s="193">
        <v>13315.928667670345</v>
      </c>
      <c r="S39" s="193">
        <f t="shared" si="6"/>
        <v>40480.423149717848</v>
      </c>
      <c r="T39" s="32"/>
      <c r="U39" s="85"/>
      <c r="V39" s="10"/>
      <c r="W39" s="10"/>
      <c r="X39" s="10"/>
      <c r="Y39" s="10">
        <f t="shared" si="7"/>
        <v>0</v>
      </c>
      <c r="Z39" s="10"/>
      <c r="AA39" s="10"/>
      <c r="AB39" s="10"/>
      <c r="AC39" s="181" t="s">
        <v>1363</v>
      </c>
      <c r="AD39" s="98" t="s">
        <v>1364</v>
      </c>
      <c r="AE39" s="165">
        <v>86497.47</v>
      </c>
      <c r="AF39" s="166" t="s">
        <v>1439</v>
      </c>
      <c r="AG39" s="167" t="s">
        <v>1440</v>
      </c>
    </row>
    <row r="40" spans="2:33" ht="15.75" thickBot="1">
      <c r="B40" s="38">
        <v>1200</v>
      </c>
      <c r="C40" s="25">
        <v>600</v>
      </c>
      <c r="D40" s="25">
        <v>200</v>
      </c>
      <c r="E40" s="25" t="s">
        <v>33</v>
      </c>
      <c r="F40" s="25">
        <v>2</v>
      </c>
      <c r="G40" s="39" t="s">
        <v>39</v>
      </c>
      <c r="H40" s="185">
        <f t="shared" si="1"/>
        <v>2.16</v>
      </c>
      <c r="I40" s="185"/>
      <c r="J40" s="185">
        <f t="shared" si="2"/>
        <v>0</v>
      </c>
      <c r="K40" s="185">
        <f t="shared" si="3"/>
        <v>31439.35796666333</v>
      </c>
      <c r="L40" s="203">
        <f t="shared" si="4"/>
        <v>41919.14395555111</v>
      </c>
      <c r="M40" s="203">
        <f t="shared" si="5"/>
        <v>41919</v>
      </c>
      <c r="N40" s="191"/>
      <c r="O40" s="10"/>
      <c r="P40" s="161">
        <f t="shared" si="8"/>
        <v>0</v>
      </c>
      <c r="Q40" s="161">
        <f t="shared" si="0"/>
        <v>0</v>
      </c>
      <c r="R40" s="193">
        <v>15321.324545157569</v>
      </c>
      <c r="S40" s="193">
        <f t="shared" si="6"/>
        <v>33094.061017540349</v>
      </c>
      <c r="T40" s="32"/>
      <c r="U40" s="85"/>
      <c r="V40" s="10"/>
      <c r="W40" s="10"/>
      <c r="X40" s="10"/>
      <c r="Y40" s="10">
        <f t="shared" si="7"/>
        <v>0</v>
      </c>
      <c r="Z40" s="10"/>
      <c r="AA40" s="10"/>
      <c r="AB40" s="10"/>
    </row>
    <row r="41" spans="2:33" ht="15.75" thickBot="1">
      <c r="B41" s="38">
        <v>1200</v>
      </c>
      <c r="C41" s="25">
        <v>600</v>
      </c>
      <c r="D41" s="25">
        <v>300</v>
      </c>
      <c r="E41" s="25" t="s">
        <v>33</v>
      </c>
      <c r="F41" s="25">
        <v>2</v>
      </c>
      <c r="G41" s="39" t="s">
        <v>40</v>
      </c>
      <c r="H41" s="185">
        <f t="shared" si="1"/>
        <v>2.52</v>
      </c>
      <c r="I41" s="185"/>
      <c r="J41" s="185">
        <f t="shared" si="2"/>
        <v>0</v>
      </c>
      <c r="K41" s="185">
        <f t="shared" si="3"/>
        <v>34716.1940721508</v>
      </c>
      <c r="L41" s="203">
        <f t="shared" si="4"/>
        <v>46288.258762867736</v>
      </c>
      <c r="M41" s="203">
        <f t="shared" si="5"/>
        <v>46288</v>
      </c>
      <c r="N41" s="191"/>
      <c r="O41" s="10"/>
      <c r="P41" s="161">
        <f t="shared" si="8"/>
        <v>0</v>
      </c>
      <c r="Q41" s="161">
        <f t="shared" si="0"/>
        <v>0</v>
      </c>
      <c r="R41" s="193">
        <v>14501.334198893401</v>
      </c>
      <c r="S41" s="193">
        <f t="shared" si="6"/>
        <v>36543.362181211371</v>
      </c>
      <c r="T41" s="32"/>
      <c r="U41" s="85"/>
      <c r="V41" s="10"/>
      <c r="W41" s="10"/>
      <c r="X41" s="10"/>
      <c r="Y41" s="10">
        <f t="shared" si="7"/>
        <v>0</v>
      </c>
      <c r="Z41" s="10"/>
      <c r="AA41" s="10"/>
      <c r="AB41" s="10"/>
      <c r="AC41" s="181" t="s">
        <v>1369</v>
      </c>
      <c r="AD41" s="98" t="s">
        <v>1370</v>
      </c>
      <c r="AE41" s="165">
        <v>60414.27</v>
      </c>
      <c r="AF41" s="166" t="s">
        <v>1441</v>
      </c>
      <c r="AG41" s="167" t="s">
        <v>1442</v>
      </c>
    </row>
    <row r="42" spans="2:33" ht="36.75" thickBot="1">
      <c r="B42" s="38">
        <v>1200</v>
      </c>
      <c r="C42" s="25">
        <v>800</v>
      </c>
      <c r="D42" s="25">
        <v>300</v>
      </c>
      <c r="E42" s="25" t="s">
        <v>33</v>
      </c>
      <c r="F42" s="25">
        <v>2</v>
      </c>
      <c r="G42" s="39" t="s">
        <v>41</v>
      </c>
      <c r="H42" s="185">
        <f t="shared" si="1"/>
        <v>3.12</v>
      </c>
      <c r="I42" s="185"/>
      <c r="J42" s="185">
        <f t="shared" si="2"/>
        <v>0</v>
      </c>
      <c r="K42" s="185">
        <f t="shared" si="3"/>
        <v>38898.9375</v>
      </c>
      <c r="L42" s="203">
        <f t="shared" si="4"/>
        <v>51865.25</v>
      </c>
      <c r="M42" s="203">
        <f t="shared" si="5"/>
        <v>51865</v>
      </c>
      <c r="N42" s="190" t="s">
        <v>568</v>
      </c>
      <c r="O42" s="10">
        <v>54595</v>
      </c>
      <c r="P42" s="161">
        <f t="shared" si="8"/>
        <v>40946.25</v>
      </c>
      <c r="Q42" s="161">
        <f t="shared" si="0"/>
        <v>13123.798076923076</v>
      </c>
      <c r="R42" s="193">
        <v>13123.798076923076</v>
      </c>
      <c r="S42" s="193">
        <f t="shared" si="6"/>
        <v>40946.25</v>
      </c>
      <c r="T42" s="36" t="s">
        <v>671</v>
      </c>
      <c r="U42" s="179">
        <v>41030</v>
      </c>
      <c r="V42" s="10"/>
      <c r="W42" s="10"/>
      <c r="X42" s="10"/>
      <c r="Y42" s="10">
        <f t="shared" si="7"/>
        <v>0</v>
      </c>
      <c r="Z42" s="10"/>
      <c r="AA42" s="10"/>
      <c r="AB42" s="10"/>
      <c r="AC42" s="181" t="s">
        <v>1371</v>
      </c>
      <c r="AD42" s="98" t="s">
        <v>1372</v>
      </c>
      <c r="AE42" s="165">
        <v>70508.87</v>
      </c>
      <c r="AF42" s="102" t="s">
        <v>1443</v>
      </c>
      <c r="AG42" s="103" t="s">
        <v>1444</v>
      </c>
    </row>
    <row r="43" spans="2:33">
      <c r="B43" s="38">
        <v>1200</v>
      </c>
      <c r="C43" s="25">
        <v>600</v>
      </c>
      <c r="D43" s="25">
        <v>400</v>
      </c>
      <c r="E43" s="25" t="s">
        <v>33</v>
      </c>
      <c r="F43" s="25">
        <v>2</v>
      </c>
      <c r="G43" s="39" t="s">
        <v>42</v>
      </c>
      <c r="H43" s="185">
        <f t="shared" si="1"/>
        <v>2.88</v>
      </c>
      <c r="I43" s="185"/>
      <c r="J43" s="185">
        <f t="shared" si="2"/>
        <v>0</v>
      </c>
      <c r="K43" s="185">
        <f t="shared" si="3"/>
        <v>37395.234332547043</v>
      </c>
      <c r="L43" s="203">
        <f t="shared" si="4"/>
        <v>49860.312443396055</v>
      </c>
      <c r="M43" s="203">
        <f t="shared" si="5"/>
        <v>49860</v>
      </c>
      <c r="N43" s="191"/>
      <c r="O43" s="10"/>
      <c r="P43" s="161">
        <f t="shared" si="8"/>
        <v>0</v>
      </c>
      <c r="Q43" s="161">
        <f t="shared" si="0"/>
        <v>0</v>
      </c>
      <c r="R43" s="193">
        <v>13667.848805755501</v>
      </c>
      <c r="S43" s="193">
        <f t="shared" si="6"/>
        <v>39363.404560575837</v>
      </c>
      <c r="T43" s="32"/>
      <c r="U43" s="85"/>
      <c r="V43" s="10"/>
      <c r="W43" s="10"/>
      <c r="X43" s="10"/>
      <c r="Y43" s="10">
        <f t="shared" si="7"/>
        <v>0</v>
      </c>
      <c r="Z43" s="10"/>
      <c r="AA43" s="10"/>
      <c r="AB43" s="10"/>
    </row>
    <row r="44" spans="2:33" ht="15.75" thickBot="1">
      <c r="B44" s="38">
        <v>1200</v>
      </c>
      <c r="C44" s="25">
        <v>800</v>
      </c>
      <c r="D44" s="25">
        <v>400</v>
      </c>
      <c r="E44" s="25" t="s">
        <v>33</v>
      </c>
      <c r="F44" s="25">
        <v>2</v>
      </c>
      <c r="G44" s="39" t="s">
        <v>43</v>
      </c>
      <c r="H44" s="185">
        <f t="shared" si="1"/>
        <v>3.52</v>
      </c>
      <c r="I44" s="185">
        <v>38047.849100000007</v>
      </c>
      <c r="J44" s="185">
        <f t="shared" si="2"/>
        <v>49462.203830000013</v>
      </c>
      <c r="K44" s="185">
        <f t="shared" si="3"/>
        <v>40765.163988044136</v>
      </c>
      <c r="L44" s="203">
        <f t="shared" si="4"/>
        <v>54353.551984058846</v>
      </c>
      <c r="M44" s="203">
        <f t="shared" si="5"/>
        <v>54354</v>
      </c>
      <c r="N44" s="191"/>
      <c r="O44" s="10"/>
      <c r="P44" s="161">
        <f t="shared" si="8"/>
        <v>0</v>
      </c>
      <c r="Q44" s="161">
        <f t="shared" si="0"/>
        <v>0</v>
      </c>
      <c r="R44" s="193">
        <v>12190.539470108892</v>
      </c>
      <c r="S44" s="193">
        <f t="shared" si="6"/>
        <v>42910.698934783301</v>
      </c>
      <c r="T44" s="32"/>
      <c r="U44" s="85"/>
      <c r="V44" s="10"/>
      <c r="W44" s="10"/>
      <c r="X44" s="10"/>
      <c r="Y44" s="10">
        <f t="shared" si="7"/>
        <v>0</v>
      </c>
      <c r="Z44" s="10"/>
      <c r="AA44" s="10"/>
      <c r="AB44" s="10"/>
    </row>
    <row r="45" spans="2:33" ht="15.75" thickBot="1">
      <c r="B45" s="38">
        <v>1400</v>
      </c>
      <c r="C45" s="25">
        <v>600</v>
      </c>
      <c r="D45" s="25">
        <v>300</v>
      </c>
      <c r="E45" s="25" t="s">
        <v>33</v>
      </c>
      <c r="F45" s="25">
        <v>2</v>
      </c>
      <c r="G45" s="39" t="s">
        <v>44</v>
      </c>
      <c r="H45" s="185">
        <f t="shared" si="1"/>
        <v>2.88</v>
      </c>
      <c r="I45" s="185"/>
      <c r="J45" s="185">
        <f t="shared" si="2"/>
        <v>0</v>
      </c>
      <c r="K45" s="185">
        <f t="shared" si="3"/>
        <v>37395.234332547043</v>
      </c>
      <c r="L45" s="203">
        <f t="shared" si="4"/>
        <v>49860.312443396055</v>
      </c>
      <c r="M45" s="203">
        <f t="shared" si="5"/>
        <v>49860</v>
      </c>
      <c r="N45" s="191"/>
      <c r="O45" s="10"/>
      <c r="P45" s="161">
        <f t="shared" si="8"/>
        <v>0</v>
      </c>
      <c r="Q45" s="161">
        <f t="shared" si="0"/>
        <v>0</v>
      </c>
      <c r="R45" s="193">
        <v>13667.848805755501</v>
      </c>
      <c r="S45" s="193">
        <f t="shared" si="6"/>
        <v>39363.404560575837</v>
      </c>
      <c r="T45" s="32"/>
      <c r="U45" s="85"/>
      <c r="V45" s="182">
        <v>1017600</v>
      </c>
      <c r="W45" s="183" t="s">
        <v>752</v>
      </c>
      <c r="X45" s="88">
        <v>823.26</v>
      </c>
      <c r="Y45" s="10">
        <f t="shared" si="7"/>
        <v>59743.97819999999</v>
      </c>
      <c r="Z45" s="141" t="s">
        <v>1463</v>
      </c>
      <c r="AA45" s="109" t="s">
        <v>1464</v>
      </c>
      <c r="AB45" s="109"/>
      <c r="AC45" s="181" t="s">
        <v>1375</v>
      </c>
      <c r="AD45" s="98" t="s">
        <v>1376</v>
      </c>
      <c r="AE45" s="165">
        <v>76645.45</v>
      </c>
      <c r="AF45" s="166" t="s">
        <v>1445</v>
      </c>
      <c r="AG45" s="167" t="s">
        <v>1446</v>
      </c>
    </row>
    <row r="46" spans="2:33" ht="15.75" thickBot="1">
      <c r="B46" s="40">
        <v>1400</v>
      </c>
      <c r="C46" s="41">
        <v>800</v>
      </c>
      <c r="D46" s="41">
        <v>300</v>
      </c>
      <c r="E46" s="41" t="s">
        <v>33</v>
      </c>
      <c r="F46" s="41">
        <v>2</v>
      </c>
      <c r="G46" s="42" t="s">
        <v>45</v>
      </c>
      <c r="H46" s="185">
        <f t="shared" si="1"/>
        <v>3.56</v>
      </c>
      <c r="I46" s="186"/>
      <c r="J46" s="185">
        <f t="shared" si="2"/>
        <v>0</v>
      </c>
      <c r="K46" s="185">
        <f t="shared" si="3"/>
        <v>40935.168543832435</v>
      </c>
      <c r="L46" s="203">
        <f t="shared" si="4"/>
        <v>54580.224725109911</v>
      </c>
      <c r="M46" s="203">
        <f t="shared" si="5"/>
        <v>54580</v>
      </c>
      <c r="N46" s="192"/>
      <c r="O46" s="10"/>
      <c r="P46" s="161">
        <f t="shared" si="8"/>
        <v>0</v>
      </c>
      <c r="Q46" s="161">
        <f t="shared" si="0"/>
        <v>0</v>
      </c>
      <c r="R46" s="193">
        <v>12103.834578306456</v>
      </c>
      <c r="S46" s="193">
        <f t="shared" si="6"/>
        <v>43089.651098770984</v>
      </c>
      <c r="T46" s="34"/>
      <c r="U46" s="180"/>
      <c r="V46" s="10"/>
      <c r="W46" s="10"/>
      <c r="X46" s="10"/>
      <c r="Y46" s="10">
        <f t="shared" si="7"/>
        <v>0</v>
      </c>
      <c r="Z46" s="10"/>
      <c r="AA46" s="10"/>
      <c r="AB46" s="10"/>
      <c r="AC46" s="181" t="s">
        <v>1377</v>
      </c>
      <c r="AD46" s="98" t="s">
        <v>1378</v>
      </c>
      <c r="AE46" s="165">
        <v>90281.12</v>
      </c>
      <c r="AF46" s="102" t="s">
        <v>1447</v>
      </c>
      <c r="AG46" s="103" t="s">
        <v>1448</v>
      </c>
    </row>
    <row r="47" spans="2:33">
      <c r="Y47">
        <f t="shared" si="7"/>
        <v>0</v>
      </c>
    </row>
    <row r="48" spans="2:33">
      <c r="V48" s="82">
        <v>1001600</v>
      </c>
      <c r="W48" s="83" t="s">
        <v>735</v>
      </c>
      <c r="X48" s="84">
        <v>150.51999999999998</v>
      </c>
      <c r="Y48">
        <f t="shared" si="7"/>
        <v>10923.236399999998</v>
      </c>
      <c r="AC48" s="98" t="s">
        <v>1333</v>
      </c>
      <c r="AD48" s="98" t="s">
        <v>1334</v>
      </c>
      <c r="AE48" s="165">
        <v>56055.9</v>
      </c>
    </row>
    <row r="49" spans="22:31">
      <c r="V49" s="82">
        <v>1002500</v>
      </c>
      <c r="W49" s="83" t="s">
        <v>736</v>
      </c>
      <c r="X49" s="84">
        <v>277.64999999999998</v>
      </c>
      <c r="Y49">
        <f t="shared" si="7"/>
        <v>20149.060499999996</v>
      </c>
      <c r="AC49" s="98" t="s">
        <v>1339</v>
      </c>
      <c r="AD49" s="98" t="s">
        <v>1340</v>
      </c>
      <c r="AE49" s="165">
        <v>64999.83</v>
      </c>
    </row>
    <row r="50" spans="22:31">
      <c r="V50" s="82">
        <v>1003600</v>
      </c>
      <c r="W50" s="83" t="s">
        <v>737</v>
      </c>
      <c r="X50" s="84">
        <v>187.38</v>
      </c>
      <c r="Y50">
        <f t="shared" si="7"/>
        <v>13598.166599999999</v>
      </c>
      <c r="AC50" s="98" t="s">
        <v>1341</v>
      </c>
      <c r="AD50" s="98" t="s">
        <v>1342</v>
      </c>
      <c r="AE50" s="165">
        <v>75311.28</v>
      </c>
    </row>
    <row r="51" spans="22:31">
      <c r="V51" s="82">
        <v>1005500</v>
      </c>
      <c r="W51" s="83" t="s">
        <v>739</v>
      </c>
      <c r="X51" s="84">
        <v>368.71</v>
      </c>
      <c r="Y51">
        <f t="shared" si="7"/>
        <v>26757.284699999997</v>
      </c>
      <c r="AC51" s="98" t="s">
        <v>1353</v>
      </c>
      <c r="AD51" s="98" t="s">
        <v>1354</v>
      </c>
      <c r="AE51" s="165">
        <v>86296.81</v>
      </c>
    </row>
    <row r="52" spans="22:31">
      <c r="V52" s="82">
        <v>1006500</v>
      </c>
      <c r="W52" s="83" t="s">
        <v>740</v>
      </c>
      <c r="X52" s="84">
        <v>377.42</v>
      </c>
      <c r="Y52">
        <f t="shared" si="7"/>
        <v>27389.3694</v>
      </c>
      <c r="AC52" s="98" t="s">
        <v>1365</v>
      </c>
      <c r="AD52" s="98" t="s">
        <v>1366</v>
      </c>
      <c r="AE52" s="165">
        <v>119180.57</v>
      </c>
    </row>
    <row r="53" spans="22:31">
      <c r="V53" s="82">
        <v>1010500</v>
      </c>
      <c r="W53" s="83" t="s">
        <v>744</v>
      </c>
      <c r="X53" s="84">
        <v>637.35</v>
      </c>
      <c r="Y53">
        <f t="shared" si="7"/>
        <v>46252.489499999996</v>
      </c>
      <c r="AC53" s="98" t="s">
        <v>1367</v>
      </c>
      <c r="AD53" s="98" t="s">
        <v>1368</v>
      </c>
      <c r="AE53" s="165">
        <v>98546.04</v>
      </c>
    </row>
    <row r="54" spans="22:31">
      <c r="V54" s="82">
        <v>1018600</v>
      </c>
      <c r="W54" s="83" t="s">
        <v>753</v>
      </c>
      <c r="X54" s="84">
        <v>927.77</v>
      </c>
      <c r="Y54">
        <f t="shared" si="7"/>
        <v>67328.268899999995</v>
      </c>
      <c r="AC54" s="98" t="s">
        <v>1373</v>
      </c>
      <c r="AD54" s="98" t="s">
        <v>1374</v>
      </c>
      <c r="AE54" s="165">
        <v>107260.48</v>
      </c>
    </row>
    <row r="55" spans="22:31">
      <c r="V55" s="82">
        <v>1019500</v>
      </c>
      <c r="W55" s="83" t="s">
        <v>754</v>
      </c>
      <c r="X55" s="84">
        <v>1617.46</v>
      </c>
      <c r="Y55">
        <f t="shared" si="7"/>
        <v>117379.0722</v>
      </c>
    </row>
    <row r="56" spans="22:31">
      <c r="V56" s="82">
        <v>1019600</v>
      </c>
      <c r="W56" s="83" t="s">
        <v>754</v>
      </c>
      <c r="X56" s="84">
        <v>1003.1899999999999</v>
      </c>
      <c r="Y56">
        <f t="shared" si="7"/>
        <v>72801.498299999992</v>
      </c>
    </row>
  </sheetData>
  <mergeCells count="4">
    <mergeCell ref="B2:G2"/>
    <mergeCell ref="T2:U2"/>
    <mergeCell ref="V2:X2"/>
    <mergeCell ref="N1:S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topLeftCell="A34" workbookViewId="0">
      <selection activeCell="I7" sqref="I7"/>
    </sheetView>
  </sheetViews>
  <sheetFormatPr defaultRowHeight="15"/>
  <sheetData>
    <row r="1" spans="2:9">
      <c r="I1">
        <v>514</v>
      </c>
    </row>
    <row r="2" spans="2:9">
      <c r="B2" t="s">
        <v>698</v>
      </c>
    </row>
    <row r="3" spans="2:9">
      <c r="B3">
        <v>300</v>
      </c>
      <c r="C3">
        <v>200</v>
      </c>
      <c r="D3">
        <v>150</v>
      </c>
      <c r="E3" t="s">
        <v>0</v>
      </c>
      <c r="F3">
        <v>1</v>
      </c>
      <c r="G3" t="s">
        <v>1707</v>
      </c>
      <c r="H3">
        <f>'SE2000 (нерж304)'!M3</f>
        <v>11026</v>
      </c>
      <c r="I3">
        <f>H3+$I$1</f>
        <v>11540</v>
      </c>
    </row>
    <row r="4" spans="2:9">
      <c r="B4">
        <v>300</v>
      </c>
      <c r="C4">
        <v>250</v>
      </c>
      <c r="D4">
        <v>150</v>
      </c>
      <c r="E4" t="s">
        <v>0</v>
      </c>
      <c r="F4">
        <v>1</v>
      </c>
      <c r="G4" t="s">
        <v>1708</v>
      </c>
      <c r="H4">
        <f>'SE2000 (нерж304)'!M4</f>
        <v>8793</v>
      </c>
      <c r="I4">
        <f t="shared" ref="I4:I46" si="0">H4+$I$1</f>
        <v>9307</v>
      </c>
    </row>
    <row r="5" spans="2:9">
      <c r="B5">
        <v>300</v>
      </c>
      <c r="C5">
        <v>300</v>
      </c>
      <c r="D5">
        <v>150</v>
      </c>
      <c r="E5" t="s">
        <v>0</v>
      </c>
      <c r="F5">
        <v>1</v>
      </c>
      <c r="G5" t="s">
        <v>1709</v>
      </c>
      <c r="H5">
        <f>'SE2000 (нерж304)'!M5</f>
        <v>9164</v>
      </c>
      <c r="I5">
        <f t="shared" si="0"/>
        <v>9678</v>
      </c>
    </row>
    <row r="6" spans="2:9">
      <c r="B6">
        <v>300</v>
      </c>
      <c r="C6">
        <v>400</v>
      </c>
      <c r="D6">
        <v>150</v>
      </c>
      <c r="E6" t="s">
        <v>0</v>
      </c>
      <c r="F6">
        <v>1</v>
      </c>
      <c r="G6" t="s">
        <v>1710</v>
      </c>
      <c r="H6">
        <f>'SE2000 (нерж304)'!M6</f>
        <v>12398</v>
      </c>
      <c r="I6">
        <f t="shared" si="0"/>
        <v>12912</v>
      </c>
    </row>
    <row r="7" spans="2:9">
      <c r="B7">
        <v>300</v>
      </c>
      <c r="C7">
        <v>400</v>
      </c>
      <c r="D7">
        <v>200</v>
      </c>
      <c r="E7" t="s">
        <v>0</v>
      </c>
      <c r="F7">
        <v>1</v>
      </c>
      <c r="G7" t="s">
        <v>1711</v>
      </c>
      <c r="H7">
        <f>'SE2000 (нерж304)'!M7</f>
        <v>12727</v>
      </c>
      <c r="I7">
        <f t="shared" si="0"/>
        <v>13241</v>
      </c>
    </row>
    <row r="8" spans="2:9">
      <c r="B8">
        <v>400</v>
      </c>
      <c r="C8">
        <v>300</v>
      </c>
      <c r="D8">
        <v>150</v>
      </c>
      <c r="E8" t="s">
        <v>0</v>
      </c>
      <c r="F8">
        <v>1</v>
      </c>
      <c r="G8" t="s">
        <v>1712</v>
      </c>
      <c r="H8">
        <f>'SE2000 (нерж304)'!M8</f>
        <v>12398</v>
      </c>
      <c r="I8">
        <f t="shared" si="0"/>
        <v>12912</v>
      </c>
    </row>
    <row r="9" spans="2:9">
      <c r="B9">
        <v>400</v>
      </c>
      <c r="C9">
        <v>300</v>
      </c>
      <c r="D9">
        <v>200</v>
      </c>
      <c r="E9" t="s">
        <v>0</v>
      </c>
      <c r="F9">
        <v>1</v>
      </c>
      <c r="G9" t="s">
        <v>1713</v>
      </c>
      <c r="H9">
        <f>'SE2000 (нерж304)'!M9</f>
        <v>12727</v>
      </c>
      <c r="I9">
        <f t="shared" si="0"/>
        <v>13241</v>
      </c>
    </row>
    <row r="10" spans="2:9">
      <c r="B10">
        <v>400</v>
      </c>
      <c r="C10">
        <v>400</v>
      </c>
      <c r="D10">
        <v>200</v>
      </c>
      <c r="E10" t="s">
        <v>0</v>
      </c>
      <c r="F10">
        <v>1</v>
      </c>
      <c r="G10" t="s">
        <v>1714</v>
      </c>
      <c r="H10">
        <f>'SE2000 (нерж304)'!M10</f>
        <v>14931</v>
      </c>
      <c r="I10">
        <f t="shared" si="0"/>
        <v>15445</v>
      </c>
    </row>
    <row r="11" spans="2:9">
      <c r="B11">
        <v>400</v>
      </c>
      <c r="C11">
        <v>600</v>
      </c>
      <c r="D11">
        <v>200</v>
      </c>
      <c r="E11" t="s">
        <v>0</v>
      </c>
      <c r="F11">
        <v>1</v>
      </c>
      <c r="G11" t="s">
        <v>1715</v>
      </c>
      <c r="H11">
        <f>'SE2000 (нерж304)'!M11</f>
        <v>18659</v>
      </c>
      <c r="I11">
        <f t="shared" si="0"/>
        <v>19173</v>
      </c>
    </row>
    <row r="12" spans="2:9">
      <c r="B12">
        <v>500</v>
      </c>
      <c r="C12">
        <v>300</v>
      </c>
      <c r="D12">
        <v>150</v>
      </c>
      <c r="E12" t="s">
        <v>0</v>
      </c>
      <c r="F12">
        <v>2</v>
      </c>
      <c r="G12" t="s">
        <v>1716</v>
      </c>
      <c r="H12">
        <f>'SE2000 (нерж304)'!M12</f>
        <v>12971</v>
      </c>
      <c r="I12">
        <f t="shared" si="0"/>
        <v>13485</v>
      </c>
    </row>
    <row r="13" spans="2:9">
      <c r="B13">
        <v>500</v>
      </c>
      <c r="C13">
        <v>300</v>
      </c>
      <c r="D13">
        <v>200</v>
      </c>
      <c r="E13" t="s">
        <v>0</v>
      </c>
      <c r="F13">
        <v>2</v>
      </c>
      <c r="G13" t="s">
        <v>1717</v>
      </c>
      <c r="H13">
        <f>'SE2000 (нерж304)'!M13</f>
        <v>14821</v>
      </c>
      <c r="I13">
        <f t="shared" si="0"/>
        <v>15335</v>
      </c>
    </row>
    <row r="14" spans="2:9">
      <c r="B14">
        <v>500</v>
      </c>
      <c r="C14">
        <v>400</v>
      </c>
      <c r="D14">
        <v>200</v>
      </c>
      <c r="E14" t="s">
        <v>0</v>
      </c>
      <c r="F14">
        <v>2</v>
      </c>
      <c r="G14" t="s">
        <v>1718</v>
      </c>
      <c r="H14">
        <f>'SE2000 (нерж304)'!M14</f>
        <v>17461</v>
      </c>
      <c r="I14">
        <f t="shared" si="0"/>
        <v>17975</v>
      </c>
    </row>
    <row r="15" spans="2:9">
      <c r="B15">
        <v>500</v>
      </c>
      <c r="C15">
        <v>500</v>
      </c>
      <c r="D15">
        <v>200</v>
      </c>
      <c r="E15" t="s">
        <v>0</v>
      </c>
      <c r="F15">
        <v>2</v>
      </c>
      <c r="G15" t="s">
        <v>1719</v>
      </c>
      <c r="H15">
        <f>'SE2000 (нерж304)'!M15</f>
        <v>19614</v>
      </c>
      <c r="I15">
        <f t="shared" si="0"/>
        <v>20128</v>
      </c>
    </row>
    <row r="16" spans="2:9">
      <c r="B16">
        <v>500</v>
      </c>
      <c r="C16">
        <v>600</v>
      </c>
      <c r="D16">
        <v>200</v>
      </c>
      <c r="E16" t="s">
        <v>0</v>
      </c>
      <c r="F16">
        <v>2</v>
      </c>
      <c r="G16" t="s">
        <v>1720</v>
      </c>
      <c r="H16">
        <f>'SE2000 (нерж304)'!M16</f>
        <v>23400</v>
      </c>
      <c r="I16">
        <f t="shared" si="0"/>
        <v>23914</v>
      </c>
    </row>
    <row r="17" spans="2:9">
      <c r="B17">
        <v>500</v>
      </c>
      <c r="C17">
        <v>400</v>
      </c>
      <c r="D17">
        <v>250</v>
      </c>
      <c r="E17" t="s">
        <v>0</v>
      </c>
      <c r="F17">
        <v>2</v>
      </c>
      <c r="G17" t="s">
        <v>1721</v>
      </c>
      <c r="H17">
        <f>'SE2000 (нерж304)'!M17</f>
        <v>19812</v>
      </c>
      <c r="I17">
        <f t="shared" si="0"/>
        <v>20326</v>
      </c>
    </row>
    <row r="18" spans="2:9">
      <c r="B18">
        <v>500</v>
      </c>
      <c r="C18">
        <v>500</v>
      </c>
      <c r="D18">
        <v>300</v>
      </c>
      <c r="E18" t="s">
        <v>0</v>
      </c>
      <c r="F18">
        <v>2</v>
      </c>
      <c r="G18" t="s">
        <v>1722</v>
      </c>
      <c r="H18">
        <f>'SE2000 (нерж304)'!M18</f>
        <v>24799</v>
      </c>
      <c r="I18">
        <f t="shared" si="0"/>
        <v>25313</v>
      </c>
    </row>
    <row r="19" spans="2:9">
      <c r="B19">
        <v>500</v>
      </c>
      <c r="C19">
        <v>600</v>
      </c>
      <c r="D19">
        <v>300</v>
      </c>
      <c r="E19" t="s">
        <v>0</v>
      </c>
      <c r="F19">
        <v>2</v>
      </c>
      <c r="G19" t="s">
        <v>1723</v>
      </c>
      <c r="H19">
        <f>'SE2000 (нерж304)'!M19</f>
        <v>27891</v>
      </c>
      <c r="I19">
        <f t="shared" si="0"/>
        <v>28405</v>
      </c>
    </row>
    <row r="20" spans="2:9">
      <c r="B20">
        <v>600</v>
      </c>
      <c r="C20">
        <v>400</v>
      </c>
      <c r="D20">
        <v>200</v>
      </c>
      <c r="E20" t="s">
        <v>0</v>
      </c>
      <c r="F20">
        <v>2</v>
      </c>
      <c r="G20" t="s">
        <v>1724</v>
      </c>
      <c r="H20">
        <f>'SE2000 (нерж304)'!M20</f>
        <v>18659</v>
      </c>
      <c r="I20">
        <f t="shared" si="0"/>
        <v>19173</v>
      </c>
    </row>
    <row r="21" spans="2:9">
      <c r="B21">
        <v>600</v>
      </c>
      <c r="C21">
        <v>500</v>
      </c>
      <c r="D21">
        <v>200</v>
      </c>
      <c r="E21" t="s">
        <v>0</v>
      </c>
      <c r="F21">
        <v>2</v>
      </c>
      <c r="G21" t="s">
        <v>1725</v>
      </c>
      <c r="H21">
        <f>'SE2000 (нерж304)'!M21</f>
        <v>23400</v>
      </c>
      <c r="I21">
        <f t="shared" si="0"/>
        <v>23914</v>
      </c>
    </row>
    <row r="22" spans="2:9">
      <c r="B22">
        <v>600</v>
      </c>
      <c r="C22">
        <v>400</v>
      </c>
      <c r="D22">
        <v>250</v>
      </c>
      <c r="E22" t="s">
        <v>0</v>
      </c>
      <c r="F22">
        <v>2</v>
      </c>
      <c r="G22" t="s">
        <v>1726</v>
      </c>
      <c r="H22">
        <f>'SE2000 (нерж304)'!M22</f>
        <v>22378</v>
      </c>
      <c r="I22">
        <f t="shared" si="0"/>
        <v>22892</v>
      </c>
    </row>
    <row r="23" spans="2:9">
      <c r="B23">
        <v>600</v>
      </c>
      <c r="C23">
        <v>600</v>
      </c>
      <c r="D23">
        <v>250</v>
      </c>
      <c r="E23" t="s">
        <v>0</v>
      </c>
      <c r="F23">
        <v>2</v>
      </c>
      <c r="G23" t="s">
        <v>1727</v>
      </c>
      <c r="H23">
        <f>'SE2000 (нерж304)'!M23</f>
        <v>26481</v>
      </c>
      <c r="I23">
        <f t="shared" si="0"/>
        <v>26995</v>
      </c>
    </row>
    <row r="24" spans="2:9">
      <c r="B24">
        <v>600</v>
      </c>
      <c r="C24">
        <v>400</v>
      </c>
      <c r="D24">
        <v>400</v>
      </c>
      <c r="E24" t="s">
        <v>0</v>
      </c>
      <c r="F24">
        <v>2</v>
      </c>
      <c r="G24" t="s">
        <v>1728</v>
      </c>
      <c r="H24">
        <f>'SE2000 (нерж304)'!M24</f>
        <v>28006</v>
      </c>
      <c r="I24">
        <f t="shared" si="0"/>
        <v>28520</v>
      </c>
    </row>
    <row r="25" spans="2:9">
      <c r="B25">
        <v>600</v>
      </c>
      <c r="C25">
        <v>600</v>
      </c>
      <c r="D25">
        <v>400</v>
      </c>
      <c r="E25" t="s">
        <v>0</v>
      </c>
      <c r="F25">
        <v>2</v>
      </c>
      <c r="G25" t="s">
        <v>1729</v>
      </c>
      <c r="H25">
        <f>'SE2000 (нерж304)'!M25</f>
        <v>34965</v>
      </c>
      <c r="I25">
        <f t="shared" si="0"/>
        <v>35479</v>
      </c>
    </row>
    <row r="26" spans="2:9">
      <c r="B26">
        <v>700</v>
      </c>
      <c r="C26">
        <v>500</v>
      </c>
      <c r="D26">
        <v>200</v>
      </c>
      <c r="E26" t="s">
        <v>0</v>
      </c>
      <c r="F26">
        <v>2</v>
      </c>
      <c r="G26" t="s">
        <v>1730</v>
      </c>
      <c r="H26">
        <f>'SE2000 (нерж304)'!M26</f>
        <v>26265</v>
      </c>
      <c r="I26">
        <f t="shared" si="0"/>
        <v>26779</v>
      </c>
    </row>
    <row r="27" spans="2:9">
      <c r="B27">
        <v>700</v>
      </c>
      <c r="C27">
        <v>500</v>
      </c>
      <c r="D27">
        <v>250</v>
      </c>
      <c r="E27" t="s">
        <v>0</v>
      </c>
      <c r="F27">
        <v>2</v>
      </c>
      <c r="G27" t="s">
        <v>1731</v>
      </c>
      <c r="H27">
        <f>'SE2000 (нерж304)'!M27</f>
        <v>25984</v>
      </c>
      <c r="I27">
        <f t="shared" si="0"/>
        <v>26498</v>
      </c>
    </row>
    <row r="28" spans="2:9">
      <c r="B28">
        <v>800</v>
      </c>
      <c r="C28">
        <v>600</v>
      </c>
      <c r="D28">
        <v>200</v>
      </c>
      <c r="E28" t="s">
        <v>0</v>
      </c>
      <c r="F28">
        <v>2</v>
      </c>
      <c r="G28" t="s">
        <v>1732</v>
      </c>
      <c r="H28">
        <f>'SE2000 (нерж304)'!M28</f>
        <v>32376</v>
      </c>
      <c r="I28">
        <f t="shared" si="0"/>
        <v>32890</v>
      </c>
    </row>
    <row r="29" spans="2:9">
      <c r="B29">
        <v>800</v>
      </c>
      <c r="C29">
        <v>800</v>
      </c>
      <c r="D29">
        <v>200</v>
      </c>
      <c r="E29" t="s">
        <v>0</v>
      </c>
      <c r="F29">
        <v>2</v>
      </c>
      <c r="G29" t="s">
        <v>1733</v>
      </c>
      <c r="H29">
        <f>'SE2000 (нерж304)'!M29</f>
        <v>38693</v>
      </c>
      <c r="I29">
        <f t="shared" si="0"/>
        <v>39207</v>
      </c>
    </row>
    <row r="30" spans="2:9">
      <c r="B30">
        <v>800</v>
      </c>
      <c r="C30">
        <v>600</v>
      </c>
      <c r="D30">
        <v>250</v>
      </c>
      <c r="E30" t="s">
        <v>0</v>
      </c>
      <c r="F30">
        <v>2</v>
      </c>
      <c r="G30" t="s">
        <v>1734</v>
      </c>
      <c r="H30">
        <f>'SE2000 (нерж304)'!M30</f>
        <v>34673</v>
      </c>
      <c r="I30">
        <f t="shared" si="0"/>
        <v>35187</v>
      </c>
    </row>
    <row r="31" spans="2:9">
      <c r="B31">
        <v>800</v>
      </c>
      <c r="C31">
        <v>600</v>
      </c>
      <c r="D31">
        <v>300</v>
      </c>
      <c r="E31" t="s">
        <v>0</v>
      </c>
      <c r="F31">
        <v>2</v>
      </c>
      <c r="G31" t="s">
        <v>1735</v>
      </c>
      <c r="H31">
        <f>'SE2000 (нерж304)'!M31</f>
        <v>33313</v>
      </c>
      <c r="I31">
        <f t="shared" si="0"/>
        <v>33827</v>
      </c>
    </row>
    <row r="32" spans="2:9">
      <c r="B32">
        <v>800</v>
      </c>
      <c r="C32">
        <v>800</v>
      </c>
      <c r="D32">
        <v>300</v>
      </c>
      <c r="E32" t="s">
        <v>0</v>
      </c>
      <c r="F32">
        <v>2</v>
      </c>
      <c r="G32" t="s">
        <v>1736</v>
      </c>
      <c r="H32">
        <f>'SE2000 (нерж304)'!M32</f>
        <v>42971</v>
      </c>
      <c r="I32">
        <f t="shared" si="0"/>
        <v>43485</v>
      </c>
    </row>
    <row r="33" spans="2:9">
      <c r="B33">
        <v>800</v>
      </c>
      <c r="C33">
        <v>600</v>
      </c>
      <c r="D33">
        <v>400</v>
      </c>
      <c r="E33" t="s">
        <v>0</v>
      </c>
      <c r="F33">
        <v>2</v>
      </c>
      <c r="G33" t="s">
        <v>1737</v>
      </c>
      <c r="H33">
        <f>'SE2000 (нерж304)'!M33</f>
        <v>40859</v>
      </c>
      <c r="I33">
        <f t="shared" si="0"/>
        <v>41373</v>
      </c>
    </row>
    <row r="34" spans="2:9">
      <c r="B34">
        <v>800</v>
      </c>
      <c r="C34">
        <v>800</v>
      </c>
      <c r="D34">
        <v>400</v>
      </c>
      <c r="E34" t="s">
        <v>0</v>
      </c>
      <c r="F34">
        <v>2</v>
      </c>
      <c r="G34" t="s">
        <v>1738</v>
      </c>
      <c r="H34">
        <f>'SE2000 (нерж304)'!M34</f>
        <v>46645</v>
      </c>
      <c r="I34">
        <f t="shared" si="0"/>
        <v>47159</v>
      </c>
    </row>
    <row r="35" spans="2:9">
      <c r="B35">
        <v>1000</v>
      </c>
      <c r="C35">
        <v>600</v>
      </c>
      <c r="D35">
        <v>250</v>
      </c>
      <c r="E35" t="s">
        <v>33</v>
      </c>
      <c r="F35">
        <v>2</v>
      </c>
      <c r="G35" t="s">
        <v>1739</v>
      </c>
      <c r="H35">
        <f>'SE2000 (нерж304)'!M35</f>
        <v>39765</v>
      </c>
      <c r="I35">
        <f t="shared" si="0"/>
        <v>40279</v>
      </c>
    </row>
    <row r="36" spans="2:9">
      <c r="B36">
        <v>1000</v>
      </c>
      <c r="C36">
        <v>600</v>
      </c>
      <c r="D36">
        <v>300</v>
      </c>
      <c r="E36" t="s">
        <v>33</v>
      </c>
      <c r="F36">
        <v>2</v>
      </c>
      <c r="G36" t="s">
        <v>1740</v>
      </c>
      <c r="H36">
        <f>'SE2000 (нерж304)'!M36</f>
        <v>41919</v>
      </c>
      <c r="I36">
        <f t="shared" si="0"/>
        <v>42433</v>
      </c>
    </row>
    <row r="37" spans="2:9">
      <c r="B37">
        <v>1000</v>
      </c>
      <c r="C37">
        <v>800</v>
      </c>
      <c r="D37">
        <v>300</v>
      </c>
      <c r="E37" t="s">
        <v>33</v>
      </c>
      <c r="F37">
        <v>2</v>
      </c>
      <c r="G37" t="s">
        <v>1741</v>
      </c>
      <c r="H37">
        <f>'SE2000 (нерж304)'!M37</f>
        <v>45127</v>
      </c>
      <c r="I37">
        <f t="shared" si="0"/>
        <v>45641</v>
      </c>
    </row>
    <row r="38" spans="2:9">
      <c r="B38">
        <v>1000</v>
      </c>
      <c r="C38">
        <v>600</v>
      </c>
      <c r="D38">
        <v>400</v>
      </c>
      <c r="E38" t="s">
        <v>33</v>
      </c>
      <c r="F38">
        <v>2</v>
      </c>
      <c r="G38" t="s">
        <v>1742</v>
      </c>
      <c r="H38">
        <f>'SE2000 (нерж304)'!M38</f>
        <v>45848</v>
      </c>
      <c r="I38">
        <f t="shared" si="0"/>
        <v>46362</v>
      </c>
    </row>
    <row r="39" spans="2:9">
      <c r="B39">
        <v>1000</v>
      </c>
      <c r="C39">
        <v>800</v>
      </c>
      <c r="D39">
        <v>400</v>
      </c>
      <c r="E39" t="s">
        <v>33</v>
      </c>
      <c r="F39">
        <v>2</v>
      </c>
      <c r="G39" t="s">
        <v>1743</v>
      </c>
      <c r="H39">
        <f>'SE2000 (нерж304)'!M39</f>
        <v>51275</v>
      </c>
      <c r="I39">
        <f t="shared" si="0"/>
        <v>51789</v>
      </c>
    </row>
    <row r="40" spans="2:9">
      <c r="B40">
        <v>1200</v>
      </c>
      <c r="C40">
        <v>600</v>
      </c>
      <c r="D40">
        <v>200</v>
      </c>
      <c r="E40" t="s">
        <v>33</v>
      </c>
      <c r="F40">
        <v>2</v>
      </c>
      <c r="G40" t="s">
        <v>1744</v>
      </c>
      <c r="H40">
        <f>'SE2000 (нерж304)'!M40</f>
        <v>41919</v>
      </c>
      <c r="I40">
        <f t="shared" si="0"/>
        <v>42433</v>
      </c>
    </row>
    <row r="41" spans="2:9">
      <c r="B41">
        <v>1200</v>
      </c>
      <c r="C41">
        <v>600</v>
      </c>
      <c r="D41">
        <v>300</v>
      </c>
      <c r="E41" t="s">
        <v>33</v>
      </c>
      <c r="F41">
        <v>2</v>
      </c>
      <c r="G41" t="s">
        <v>1745</v>
      </c>
      <c r="H41">
        <f>'SE2000 (нерж304)'!M41</f>
        <v>46288</v>
      </c>
      <c r="I41">
        <f t="shared" si="0"/>
        <v>46802</v>
      </c>
    </row>
    <row r="42" spans="2:9">
      <c r="B42">
        <v>1200</v>
      </c>
      <c r="C42">
        <v>800</v>
      </c>
      <c r="D42">
        <v>300</v>
      </c>
      <c r="E42" t="s">
        <v>33</v>
      </c>
      <c r="F42">
        <v>2</v>
      </c>
      <c r="G42" t="s">
        <v>1746</v>
      </c>
      <c r="H42">
        <f>'SE2000 (нерж304)'!M42</f>
        <v>51865</v>
      </c>
      <c r="I42">
        <f t="shared" si="0"/>
        <v>52379</v>
      </c>
    </row>
    <row r="43" spans="2:9">
      <c r="B43">
        <v>1200</v>
      </c>
      <c r="C43">
        <v>600</v>
      </c>
      <c r="D43">
        <v>400</v>
      </c>
      <c r="E43" t="s">
        <v>33</v>
      </c>
      <c r="F43">
        <v>2</v>
      </c>
      <c r="G43" t="s">
        <v>1747</v>
      </c>
      <c r="H43">
        <f>'SE2000 (нерж304)'!M43</f>
        <v>49860</v>
      </c>
      <c r="I43">
        <f t="shared" si="0"/>
        <v>50374</v>
      </c>
    </row>
    <row r="44" spans="2:9">
      <c r="B44">
        <v>1200</v>
      </c>
      <c r="C44">
        <v>800</v>
      </c>
      <c r="D44">
        <v>400</v>
      </c>
      <c r="E44" t="s">
        <v>33</v>
      </c>
      <c r="F44">
        <v>2</v>
      </c>
      <c r="G44" t="s">
        <v>1748</v>
      </c>
      <c r="H44">
        <f>'SE2000 (нерж304)'!M44</f>
        <v>54354</v>
      </c>
      <c r="I44">
        <f t="shared" si="0"/>
        <v>54868</v>
      </c>
    </row>
    <row r="45" spans="2:9">
      <c r="B45">
        <v>1400</v>
      </c>
      <c r="C45">
        <v>600</v>
      </c>
      <c r="D45">
        <v>300</v>
      </c>
      <c r="E45" t="s">
        <v>33</v>
      </c>
      <c r="F45">
        <v>2</v>
      </c>
      <c r="G45" t="s">
        <v>1749</v>
      </c>
      <c r="H45">
        <f>'SE2000 (нерж304)'!M45</f>
        <v>49860</v>
      </c>
      <c r="I45">
        <f t="shared" si="0"/>
        <v>50374</v>
      </c>
    </row>
    <row r="46" spans="2:9">
      <c r="B46">
        <v>1400</v>
      </c>
      <c r="C46">
        <v>800</v>
      </c>
      <c r="D46">
        <v>300</v>
      </c>
      <c r="E46" t="s">
        <v>33</v>
      </c>
      <c r="F46">
        <v>2</v>
      </c>
      <c r="G46" t="s">
        <v>1750</v>
      </c>
      <c r="H46">
        <f>'SE2000 (нерж304)'!M46</f>
        <v>54580</v>
      </c>
      <c r="I46">
        <f t="shared" si="0"/>
        <v>55094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4"/>
  <sheetViews>
    <sheetView topLeftCell="A172" workbookViewId="0">
      <selection activeCell="M31" sqref="M31"/>
    </sheetView>
  </sheetViews>
  <sheetFormatPr defaultRowHeight="15"/>
  <cols>
    <col min="6" max="6" width="29.42578125" customWidth="1"/>
    <col min="7" max="7" width="20.28515625" customWidth="1"/>
    <col min="8" max="8" width="11.28515625" customWidth="1"/>
    <col min="9" max="9" width="19" customWidth="1"/>
    <col min="10" max="10" width="33" customWidth="1"/>
    <col min="11" max="11" width="12.5703125" customWidth="1"/>
    <col min="13" max="13" width="15.85546875" customWidth="1"/>
    <col min="14" max="14" width="32.140625" customWidth="1"/>
    <col min="15" max="15" width="18" customWidth="1"/>
  </cols>
  <sheetData>
    <row r="1" spans="2:11">
      <c r="B1" s="229" t="s">
        <v>698</v>
      </c>
      <c r="C1" s="227"/>
      <c r="D1" s="227"/>
      <c r="E1" s="227"/>
      <c r="F1" s="227" t="s">
        <v>53</v>
      </c>
      <c r="G1" s="227"/>
      <c r="H1" s="227"/>
      <c r="I1" s="227" t="s">
        <v>87</v>
      </c>
      <c r="J1" s="227"/>
      <c r="K1" s="228"/>
    </row>
    <row r="2" spans="2:11">
      <c r="B2" s="72" t="s">
        <v>329</v>
      </c>
      <c r="C2" s="16" t="s">
        <v>285</v>
      </c>
      <c r="D2" s="16" t="s">
        <v>286</v>
      </c>
      <c r="E2" s="16" t="s">
        <v>51</v>
      </c>
      <c r="F2" s="10"/>
      <c r="G2" s="10"/>
      <c r="H2" s="10"/>
      <c r="I2" s="10"/>
      <c r="J2" s="10"/>
      <c r="K2" s="33"/>
    </row>
    <row r="3" spans="2:11">
      <c r="B3" s="73">
        <v>1200</v>
      </c>
      <c r="C3" s="15">
        <v>300</v>
      </c>
      <c r="D3" s="15">
        <v>400</v>
      </c>
      <c r="E3" s="15" t="s">
        <v>307</v>
      </c>
      <c r="F3" s="10"/>
      <c r="G3" s="10"/>
      <c r="H3" s="10"/>
      <c r="I3" s="10"/>
      <c r="J3" s="10"/>
      <c r="K3" s="33"/>
    </row>
    <row r="4" spans="2:11">
      <c r="B4" s="73">
        <v>1200</v>
      </c>
      <c r="C4" s="15">
        <v>300</v>
      </c>
      <c r="D4" s="15">
        <v>500</v>
      </c>
      <c r="E4" s="15" t="s">
        <v>308</v>
      </c>
      <c r="F4" s="10"/>
      <c r="G4" s="10"/>
      <c r="H4" s="10"/>
      <c r="I4" s="10"/>
      <c r="J4" s="10"/>
      <c r="K4" s="33"/>
    </row>
    <row r="5" spans="2:11">
      <c r="B5" s="73">
        <v>1200</v>
      </c>
      <c r="C5" s="15">
        <v>300</v>
      </c>
      <c r="D5" s="15">
        <v>600</v>
      </c>
      <c r="E5" s="15" t="s">
        <v>309</v>
      </c>
      <c r="F5" s="10"/>
      <c r="G5" s="10"/>
      <c r="H5" s="10"/>
      <c r="I5" s="10"/>
      <c r="J5" s="10"/>
      <c r="K5" s="33"/>
    </row>
    <row r="6" spans="2:11">
      <c r="B6" s="73">
        <v>1200</v>
      </c>
      <c r="C6" s="15">
        <v>300</v>
      </c>
      <c r="D6" s="15">
        <v>800</v>
      </c>
      <c r="E6" s="15" t="s">
        <v>310</v>
      </c>
      <c r="F6" s="10"/>
      <c r="G6" s="10"/>
      <c r="H6" s="10"/>
      <c r="I6" s="10"/>
      <c r="J6" s="10"/>
      <c r="K6" s="33"/>
    </row>
    <row r="7" spans="2:11">
      <c r="B7" s="73">
        <v>1200</v>
      </c>
      <c r="C7" s="15">
        <v>300</v>
      </c>
      <c r="D7" s="15">
        <v>1000</v>
      </c>
      <c r="E7" s="15" t="s">
        <v>311</v>
      </c>
      <c r="F7" s="10"/>
      <c r="G7" s="10"/>
      <c r="H7" s="10"/>
      <c r="I7" s="10"/>
      <c r="J7" s="10"/>
      <c r="K7" s="33"/>
    </row>
    <row r="8" spans="2:11">
      <c r="B8" s="73">
        <v>1200</v>
      </c>
      <c r="C8" s="15">
        <v>400</v>
      </c>
      <c r="D8" s="15">
        <v>300</v>
      </c>
      <c r="E8" s="15" t="s">
        <v>307</v>
      </c>
      <c r="F8" s="10"/>
      <c r="G8" s="10"/>
      <c r="H8" s="10"/>
      <c r="I8" s="10"/>
      <c r="J8" s="10"/>
      <c r="K8" s="33"/>
    </row>
    <row r="9" spans="2:11">
      <c r="B9" s="73">
        <v>1200</v>
      </c>
      <c r="C9" s="15">
        <v>400</v>
      </c>
      <c r="D9" s="15">
        <v>400</v>
      </c>
      <c r="E9" s="15" t="s">
        <v>312</v>
      </c>
      <c r="F9" s="10"/>
      <c r="G9" s="10"/>
      <c r="H9" s="10"/>
      <c r="I9" s="10"/>
      <c r="J9" s="10"/>
      <c r="K9" s="33"/>
    </row>
    <row r="10" spans="2:11">
      <c r="B10" s="73">
        <v>1200</v>
      </c>
      <c r="C10" s="15">
        <v>400</v>
      </c>
      <c r="D10" s="15">
        <v>500</v>
      </c>
      <c r="E10" s="15" t="s">
        <v>313</v>
      </c>
      <c r="F10" s="10"/>
      <c r="G10" s="10"/>
      <c r="H10" s="10"/>
      <c r="I10" s="10"/>
      <c r="J10" s="10"/>
      <c r="K10" s="33"/>
    </row>
    <row r="11" spans="2:11">
      <c r="B11" s="73">
        <v>1200</v>
      </c>
      <c r="C11" s="15">
        <v>400</v>
      </c>
      <c r="D11" s="15">
        <v>600</v>
      </c>
      <c r="E11" s="15" t="s">
        <v>314</v>
      </c>
      <c r="F11" s="10"/>
      <c r="G11" s="10"/>
      <c r="H11" s="10"/>
      <c r="I11" s="10"/>
      <c r="J11" s="10"/>
      <c r="K11" s="33"/>
    </row>
    <row r="12" spans="2:11">
      <c r="B12" s="73">
        <v>1200</v>
      </c>
      <c r="C12" s="15">
        <v>400</v>
      </c>
      <c r="D12" s="15">
        <v>800</v>
      </c>
      <c r="E12" s="15" t="s">
        <v>315</v>
      </c>
      <c r="F12" s="10"/>
      <c r="G12" s="10"/>
      <c r="H12" s="10"/>
      <c r="I12" s="10"/>
      <c r="J12" s="10"/>
      <c r="K12" s="33"/>
    </row>
    <row r="13" spans="2:11">
      <c r="B13" s="73">
        <v>1200</v>
      </c>
      <c r="C13" s="15">
        <v>400</v>
      </c>
      <c r="D13" s="15">
        <v>1000</v>
      </c>
      <c r="E13" s="15" t="s">
        <v>316</v>
      </c>
      <c r="F13" s="10"/>
      <c r="G13" s="10"/>
      <c r="H13" s="10"/>
      <c r="I13" s="10"/>
      <c r="J13" s="10"/>
      <c r="K13" s="33"/>
    </row>
    <row r="14" spans="2:11">
      <c r="B14" s="73">
        <v>1200</v>
      </c>
      <c r="C14" s="15">
        <v>600</v>
      </c>
      <c r="D14" s="15">
        <v>300</v>
      </c>
      <c r="E14" s="15" t="s">
        <v>309</v>
      </c>
      <c r="F14" s="10"/>
      <c r="G14" s="10"/>
      <c r="H14" s="10"/>
      <c r="I14" s="10"/>
      <c r="J14" s="10"/>
      <c r="K14" s="33"/>
    </row>
    <row r="15" spans="2:11">
      <c r="B15" s="73">
        <v>1200</v>
      </c>
      <c r="C15" s="15">
        <v>600</v>
      </c>
      <c r="D15" s="15">
        <v>400</v>
      </c>
      <c r="E15" s="15" t="s">
        <v>314</v>
      </c>
      <c r="F15" s="10"/>
      <c r="G15" s="10"/>
      <c r="H15" s="10"/>
      <c r="I15" s="10"/>
      <c r="J15" s="10"/>
      <c r="K15" s="33"/>
    </row>
    <row r="16" spans="2:11">
      <c r="B16" s="73">
        <v>1200</v>
      </c>
      <c r="C16" s="15">
        <v>600</v>
      </c>
      <c r="D16" s="15">
        <v>500</v>
      </c>
      <c r="E16" s="15" t="s">
        <v>317</v>
      </c>
      <c r="F16" s="10"/>
      <c r="G16" s="10"/>
      <c r="H16" s="10"/>
      <c r="I16" s="69" t="s">
        <v>448</v>
      </c>
      <c r="J16" s="70" t="s">
        <v>449</v>
      </c>
      <c r="K16" s="74">
        <v>25145</v>
      </c>
    </row>
    <row r="17" spans="2:13">
      <c r="B17" s="73">
        <v>1200</v>
      </c>
      <c r="C17" s="15">
        <v>600</v>
      </c>
      <c r="D17" s="15">
        <v>600</v>
      </c>
      <c r="E17" s="15" t="s">
        <v>318</v>
      </c>
      <c r="F17" s="10"/>
      <c r="G17" s="10"/>
      <c r="H17" s="10"/>
      <c r="I17" s="10"/>
      <c r="J17" s="10"/>
      <c r="K17" s="33"/>
    </row>
    <row r="18" spans="2:13">
      <c r="B18" s="73">
        <v>1200</v>
      </c>
      <c r="C18" s="15">
        <v>600</v>
      </c>
      <c r="D18" s="15">
        <v>800</v>
      </c>
      <c r="E18" s="15" t="s">
        <v>319</v>
      </c>
      <c r="F18" s="10"/>
      <c r="G18" s="10"/>
      <c r="H18" s="10"/>
      <c r="I18" s="10"/>
      <c r="J18" s="10"/>
      <c r="K18" s="33"/>
    </row>
    <row r="19" spans="2:13">
      <c r="B19" s="73">
        <v>1200</v>
      </c>
      <c r="C19" s="15">
        <v>600</v>
      </c>
      <c r="D19" s="15">
        <v>1000</v>
      </c>
      <c r="E19" s="15" t="s">
        <v>320</v>
      </c>
      <c r="F19" s="10"/>
      <c r="G19" s="10"/>
      <c r="H19" s="10"/>
      <c r="I19" s="10"/>
      <c r="J19" s="10"/>
      <c r="K19" s="33"/>
    </row>
    <row r="20" spans="2:13">
      <c r="B20" s="73">
        <v>1200</v>
      </c>
      <c r="C20" s="15">
        <v>800</v>
      </c>
      <c r="D20" s="15">
        <v>300</v>
      </c>
      <c r="E20" s="15" t="s">
        <v>310</v>
      </c>
      <c r="F20" s="10"/>
      <c r="G20" s="10"/>
      <c r="H20" s="10"/>
      <c r="I20" s="10"/>
      <c r="J20" s="10"/>
      <c r="K20" s="33"/>
    </row>
    <row r="21" spans="2:13">
      <c r="B21" s="73">
        <v>1200</v>
      </c>
      <c r="C21" s="15">
        <v>800</v>
      </c>
      <c r="D21" s="15">
        <v>400</v>
      </c>
      <c r="E21" s="15" t="s">
        <v>315</v>
      </c>
      <c r="F21" s="10"/>
      <c r="G21" s="10"/>
      <c r="H21" s="10"/>
      <c r="I21" s="10"/>
      <c r="J21" s="10"/>
      <c r="K21" s="33"/>
    </row>
    <row r="22" spans="2:13">
      <c r="B22" s="73">
        <v>1200</v>
      </c>
      <c r="C22" s="15">
        <v>800</v>
      </c>
      <c r="D22" s="15">
        <v>500</v>
      </c>
      <c r="E22" s="15" t="s">
        <v>321</v>
      </c>
      <c r="F22" s="10"/>
      <c r="G22" s="10"/>
      <c r="H22" s="10"/>
      <c r="I22" s="69" t="s">
        <v>450</v>
      </c>
      <c r="J22" s="70" t="s">
        <v>451</v>
      </c>
      <c r="K22" s="74">
        <v>27351</v>
      </c>
    </row>
    <row r="23" spans="2:13">
      <c r="B23" s="73">
        <v>1200</v>
      </c>
      <c r="C23" s="15">
        <v>600</v>
      </c>
      <c r="D23" s="15">
        <v>600</v>
      </c>
      <c r="E23" s="15" t="s">
        <v>318</v>
      </c>
      <c r="F23" s="10"/>
      <c r="G23" s="10"/>
      <c r="H23" s="10"/>
      <c r="I23" s="10"/>
      <c r="J23" s="10"/>
      <c r="K23" s="33"/>
    </row>
    <row r="24" spans="2:13">
      <c r="B24" s="73">
        <v>1200</v>
      </c>
      <c r="C24" s="15">
        <v>800</v>
      </c>
      <c r="D24" s="15">
        <v>800</v>
      </c>
      <c r="E24" s="15" t="s">
        <v>322</v>
      </c>
      <c r="F24" s="10"/>
      <c r="G24" s="10"/>
      <c r="H24" s="10"/>
      <c r="I24" s="10"/>
      <c r="J24" s="10"/>
      <c r="K24" s="33"/>
    </row>
    <row r="25" spans="2:13">
      <c r="B25" s="73">
        <v>1200</v>
      </c>
      <c r="C25" s="15">
        <v>800</v>
      </c>
      <c r="D25" s="15">
        <v>1000</v>
      </c>
      <c r="E25" s="15" t="s">
        <v>323</v>
      </c>
      <c r="F25" s="10"/>
      <c r="G25" s="10"/>
      <c r="H25" s="10"/>
      <c r="I25" s="10"/>
      <c r="J25" s="10"/>
      <c r="K25" s="33"/>
    </row>
    <row r="26" spans="2:13">
      <c r="B26" s="73">
        <v>1200</v>
      </c>
      <c r="C26" s="15">
        <v>1000</v>
      </c>
      <c r="D26" s="15">
        <v>300</v>
      </c>
      <c r="E26" s="15" t="s">
        <v>311</v>
      </c>
      <c r="F26" s="10"/>
      <c r="G26" s="10"/>
      <c r="H26" s="10"/>
      <c r="I26" s="10"/>
      <c r="J26" s="10"/>
      <c r="K26" s="33"/>
    </row>
    <row r="27" spans="2:13">
      <c r="B27" s="73">
        <v>1200</v>
      </c>
      <c r="C27" s="15">
        <v>1000</v>
      </c>
      <c r="D27" s="15">
        <v>400</v>
      </c>
      <c r="E27" s="15" t="s">
        <v>316</v>
      </c>
      <c r="F27" s="10"/>
      <c r="G27" s="10"/>
      <c r="H27" s="10"/>
      <c r="I27" s="10"/>
      <c r="J27" s="10"/>
      <c r="K27" s="33"/>
    </row>
    <row r="28" spans="2:13">
      <c r="B28" s="73">
        <v>1200</v>
      </c>
      <c r="C28" s="15">
        <v>1000</v>
      </c>
      <c r="D28" s="15">
        <v>500</v>
      </c>
      <c r="E28" s="15" t="s">
        <v>324</v>
      </c>
      <c r="F28" s="10"/>
      <c r="G28" s="10"/>
      <c r="H28" s="10"/>
      <c r="I28" s="10"/>
      <c r="J28" s="10"/>
      <c r="K28" s="33"/>
    </row>
    <row r="29" spans="2:13">
      <c r="B29" s="73">
        <v>1200</v>
      </c>
      <c r="C29" s="15">
        <v>1000</v>
      </c>
      <c r="D29" s="15">
        <v>600</v>
      </c>
      <c r="E29" s="15" t="s">
        <v>320</v>
      </c>
      <c r="F29" s="10"/>
      <c r="G29" s="10"/>
      <c r="H29" s="10"/>
      <c r="I29" s="10"/>
      <c r="J29" s="10"/>
      <c r="K29" s="33"/>
    </row>
    <row r="30" spans="2:13">
      <c r="B30" s="73">
        <v>1200</v>
      </c>
      <c r="C30" s="15">
        <v>1000</v>
      </c>
      <c r="D30" s="15">
        <v>800</v>
      </c>
      <c r="E30" s="15" t="s">
        <v>323</v>
      </c>
      <c r="F30" s="10"/>
      <c r="G30" s="10"/>
      <c r="H30" s="10"/>
      <c r="I30" s="10"/>
      <c r="J30" s="10"/>
      <c r="K30" s="33"/>
    </row>
    <row r="31" spans="2:13">
      <c r="B31" s="73">
        <v>1200</v>
      </c>
      <c r="C31" s="15">
        <v>1000</v>
      </c>
      <c r="D31" s="15">
        <v>1000</v>
      </c>
      <c r="E31" s="15" t="s">
        <v>325</v>
      </c>
      <c r="F31" s="10"/>
      <c r="G31" s="10"/>
      <c r="H31" s="10"/>
      <c r="I31" s="10"/>
      <c r="J31" s="10"/>
      <c r="K31" s="33"/>
      <c r="M31" s="2"/>
    </row>
    <row r="32" spans="2:13">
      <c r="B32" s="73">
        <v>1400</v>
      </c>
      <c r="C32" s="15">
        <v>300</v>
      </c>
      <c r="D32" s="15">
        <v>400</v>
      </c>
      <c r="E32" s="15" t="s">
        <v>326</v>
      </c>
      <c r="F32" s="10"/>
      <c r="G32" s="10"/>
      <c r="H32" s="10"/>
      <c r="I32" s="10"/>
      <c r="J32" s="10"/>
      <c r="K32" s="33"/>
    </row>
    <row r="33" spans="2:11">
      <c r="B33" s="73">
        <v>1400</v>
      </c>
      <c r="C33" s="15">
        <v>300</v>
      </c>
      <c r="D33" s="15">
        <v>500</v>
      </c>
      <c r="E33" s="15" t="s">
        <v>327</v>
      </c>
      <c r="F33" s="10"/>
      <c r="G33" s="10"/>
      <c r="H33" s="10"/>
      <c r="I33" s="10"/>
      <c r="J33" s="10"/>
      <c r="K33" s="33"/>
    </row>
    <row r="34" spans="2:11">
      <c r="B34" s="73">
        <v>1400</v>
      </c>
      <c r="C34" s="15">
        <v>300</v>
      </c>
      <c r="D34" s="15">
        <v>600</v>
      </c>
      <c r="E34" s="15" t="s">
        <v>328</v>
      </c>
      <c r="F34" s="10"/>
      <c r="G34" s="10"/>
      <c r="H34" s="10"/>
      <c r="I34" s="10"/>
      <c r="J34" s="10"/>
      <c r="K34" s="33"/>
    </row>
    <row r="35" spans="2:11">
      <c r="B35" s="73">
        <v>1400</v>
      </c>
      <c r="C35" s="15">
        <v>300</v>
      </c>
      <c r="D35" s="15">
        <v>800</v>
      </c>
      <c r="E35" s="15" t="s">
        <v>330</v>
      </c>
      <c r="F35" s="10"/>
      <c r="G35" s="10"/>
      <c r="H35" s="10"/>
      <c r="I35" s="10"/>
      <c r="J35" s="10"/>
      <c r="K35" s="33"/>
    </row>
    <row r="36" spans="2:11">
      <c r="B36" s="73">
        <v>1400</v>
      </c>
      <c r="C36" s="15">
        <v>300</v>
      </c>
      <c r="D36" s="15">
        <v>1000</v>
      </c>
      <c r="E36" s="15" t="s">
        <v>331</v>
      </c>
      <c r="F36" s="10"/>
      <c r="G36" s="10"/>
      <c r="H36" s="10"/>
      <c r="I36" s="10"/>
      <c r="J36" s="10"/>
      <c r="K36" s="33"/>
    </row>
    <row r="37" spans="2:11">
      <c r="B37" s="73">
        <v>1400</v>
      </c>
      <c r="C37" s="15">
        <v>400</v>
      </c>
      <c r="D37" s="15">
        <v>300</v>
      </c>
      <c r="E37" s="15" t="s">
        <v>326</v>
      </c>
      <c r="F37" s="10"/>
      <c r="G37" s="10"/>
      <c r="H37" s="10"/>
      <c r="I37" s="10"/>
      <c r="J37" s="10"/>
      <c r="K37" s="33"/>
    </row>
    <row r="38" spans="2:11">
      <c r="B38" s="73">
        <v>1400</v>
      </c>
      <c r="C38" s="15">
        <v>400</v>
      </c>
      <c r="D38" s="15">
        <v>400</v>
      </c>
      <c r="E38" s="15" t="s">
        <v>332</v>
      </c>
      <c r="F38" s="10"/>
      <c r="G38" s="10"/>
      <c r="H38" s="10"/>
      <c r="I38" s="10"/>
      <c r="J38" s="10"/>
      <c r="K38" s="33"/>
    </row>
    <row r="39" spans="2:11">
      <c r="B39" s="73">
        <v>1400</v>
      </c>
      <c r="C39" s="15">
        <v>400</v>
      </c>
      <c r="D39" s="15">
        <v>500</v>
      </c>
      <c r="E39" s="15" t="s">
        <v>333</v>
      </c>
      <c r="F39" s="10"/>
      <c r="G39" s="10"/>
      <c r="H39" s="10"/>
      <c r="I39" s="10"/>
      <c r="J39" s="10"/>
      <c r="K39" s="33"/>
    </row>
    <row r="40" spans="2:11">
      <c r="B40" s="73">
        <v>1400</v>
      </c>
      <c r="C40" s="15">
        <v>400</v>
      </c>
      <c r="D40" s="15">
        <v>600</v>
      </c>
      <c r="E40" s="15" t="s">
        <v>334</v>
      </c>
      <c r="F40" s="10"/>
      <c r="G40" s="10"/>
      <c r="H40" s="10"/>
      <c r="I40" s="10"/>
      <c r="J40" s="10"/>
      <c r="K40" s="33"/>
    </row>
    <row r="41" spans="2:11">
      <c r="B41" s="73">
        <v>1400</v>
      </c>
      <c r="C41" s="15">
        <v>400</v>
      </c>
      <c r="D41" s="15">
        <v>800</v>
      </c>
      <c r="E41" s="15" t="s">
        <v>335</v>
      </c>
      <c r="F41" s="10"/>
      <c r="G41" s="10"/>
      <c r="H41" s="10"/>
      <c r="I41" s="10"/>
      <c r="J41" s="10"/>
      <c r="K41" s="33"/>
    </row>
    <row r="42" spans="2:11">
      <c r="B42" s="73">
        <v>1400</v>
      </c>
      <c r="C42" s="15">
        <v>400</v>
      </c>
      <c r="D42" s="15">
        <v>1000</v>
      </c>
      <c r="E42" s="15" t="s">
        <v>336</v>
      </c>
      <c r="F42" s="10"/>
      <c r="G42" s="10"/>
      <c r="H42" s="10"/>
      <c r="I42" s="10"/>
      <c r="J42" s="10"/>
      <c r="K42" s="33"/>
    </row>
    <row r="43" spans="2:11">
      <c r="B43" s="73">
        <v>1400</v>
      </c>
      <c r="C43" s="15">
        <v>600</v>
      </c>
      <c r="D43" s="15">
        <v>300</v>
      </c>
      <c r="E43" s="15" t="s">
        <v>328</v>
      </c>
      <c r="F43" s="10"/>
      <c r="G43" s="10"/>
      <c r="H43" s="10"/>
      <c r="I43" s="10"/>
      <c r="J43" s="10"/>
      <c r="K43" s="33"/>
    </row>
    <row r="44" spans="2:11">
      <c r="B44" s="73">
        <v>1400</v>
      </c>
      <c r="C44" s="15">
        <v>600</v>
      </c>
      <c r="D44" s="15">
        <v>400</v>
      </c>
      <c r="E44" s="15" t="s">
        <v>334</v>
      </c>
      <c r="F44" s="10"/>
      <c r="G44" s="10"/>
      <c r="H44" s="10"/>
      <c r="I44" s="10"/>
      <c r="J44" s="10"/>
      <c r="K44" s="33"/>
    </row>
    <row r="45" spans="2:11">
      <c r="B45" s="73">
        <v>1400</v>
      </c>
      <c r="C45" s="15">
        <v>600</v>
      </c>
      <c r="D45" s="15">
        <v>500</v>
      </c>
      <c r="E45" s="15" t="s">
        <v>337</v>
      </c>
      <c r="F45" s="10"/>
      <c r="G45" s="10"/>
      <c r="H45" s="10"/>
      <c r="I45" s="69" t="s">
        <v>452</v>
      </c>
      <c r="J45" s="70" t="s">
        <v>453</v>
      </c>
      <c r="K45" s="74">
        <v>25805</v>
      </c>
    </row>
    <row r="46" spans="2:11">
      <c r="B46" s="73">
        <v>1400</v>
      </c>
      <c r="C46" s="15">
        <v>600</v>
      </c>
      <c r="D46" s="15">
        <v>600</v>
      </c>
      <c r="E46" s="15" t="s">
        <v>338</v>
      </c>
      <c r="F46" s="10"/>
      <c r="G46" s="10"/>
      <c r="H46" s="10"/>
      <c r="I46" s="10"/>
      <c r="J46" s="10"/>
      <c r="K46" s="33"/>
    </row>
    <row r="47" spans="2:11">
      <c r="B47" s="73">
        <v>1400</v>
      </c>
      <c r="C47" s="15">
        <v>600</v>
      </c>
      <c r="D47" s="15">
        <v>800</v>
      </c>
      <c r="E47" s="15" t="s">
        <v>339</v>
      </c>
      <c r="F47" s="10"/>
      <c r="G47" s="10"/>
      <c r="H47" s="10"/>
      <c r="I47" s="10"/>
      <c r="J47" s="10"/>
      <c r="K47" s="33"/>
    </row>
    <row r="48" spans="2:11">
      <c r="B48" s="73">
        <v>1400</v>
      </c>
      <c r="C48" s="15">
        <v>600</v>
      </c>
      <c r="D48" s="15">
        <v>1000</v>
      </c>
      <c r="E48" s="15" t="s">
        <v>340</v>
      </c>
      <c r="F48" s="10"/>
      <c r="G48" s="10"/>
      <c r="H48" s="10"/>
      <c r="I48" s="10"/>
      <c r="J48" s="10"/>
      <c r="K48" s="33"/>
    </row>
    <row r="49" spans="2:11">
      <c r="B49" s="73">
        <v>1400</v>
      </c>
      <c r="C49" s="15">
        <v>800</v>
      </c>
      <c r="D49" s="15">
        <v>300</v>
      </c>
      <c r="E49" s="15" t="s">
        <v>330</v>
      </c>
      <c r="F49" s="10"/>
      <c r="G49" s="10"/>
      <c r="H49" s="10"/>
      <c r="I49" s="10"/>
      <c r="J49" s="10"/>
      <c r="K49" s="33"/>
    </row>
    <row r="50" spans="2:11">
      <c r="B50" s="73">
        <v>1400</v>
      </c>
      <c r="C50" s="15">
        <v>800</v>
      </c>
      <c r="D50" s="15">
        <v>400</v>
      </c>
      <c r="E50" s="15" t="s">
        <v>335</v>
      </c>
      <c r="F50" s="10"/>
      <c r="G50" s="10"/>
      <c r="H50" s="10"/>
      <c r="I50" s="10"/>
      <c r="J50" s="10"/>
      <c r="K50" s="33"/>
    </row>
    <row r="51" spans="2:11">
      <c r="B51" s="73">
        <v>1400</v>
      </c>
      <c r="C51" s="15">
        <v>800</v>
      </c>
      <c r="D51" s="15">
        <v>500</v>
      </c>
      <c r="E51" s="15" t="s">
        <v>341</v>
      </c>
      <c r="F51" s="10"/>
      <c r="G51" s="10"/>
      <c r="H51" s="10"/>
      <c r="I51" s="69" t="s">
        <v>454</v>
      </c>
      <c r="J51" s="70" t="s">
        <v>455</v>
      </c>
      <c r="K51" s="74">
        <v>27932</v>
      </c>
    </row>
    <row r="52" spans="2:11">
      <c r="B52" s="73">
        <v>1400</v>
      </c>
      <c r="C52" s="15">
        <v>600</v>
      </c>
      <c r="D52" s="15">
        <v>600</v>
      </c>
      <c r="E52" s="15" t="s">
        <v>338</v>
      </c>
      <c r="F52" s="10"/>
      <c r="G52" s="10"/>
      <c r="H52" s="10"/>
      <c r="I52" s="10"/>
      <c r="J52" s="10"/>
      <c r="K52" s="33"/>
    </row>
    <row r="53" spans="2:11">
      <c r="B53" s="73">
        <v>1400</v>
      </c>
      <c r="C53" s="15">
        <v>800</v>
      </c>
      <c r="D53" s="15">
        <v>800</v>
      </c>
      <c r="E53" s="15" t="s">
        <v>342</v>
      </c>
      <c r="F53" s="10"/>
      <c r="G53" s="10"/>
      <c r="H53" s="10"/>
      <c r="I53" s="10"/>
      <c r="J53" s="10"/>
      <c r="K53" s="33"/>
    </row>
    <row r="54" spans="2:11">
      <c r="B54" s="73">
        <v>1400</v>
      </c>
      <c r="C54" s="15">
        <v>800</v>
      </c>
      <c r="D54" s="15">
        <v>1000</v>
      </c>
      <c r="E54" s="15" t="s">
        <v>343</v>
      </c>
      <c r="F54" s="10"/>
      <c r="G54" s="10"/>
      <c r="H54" s="10"/>
      <c r="I54" s="10"/>
      <c r="J54" s="10"/>
      <c r="K54" s="33"/>
    </row>
    <row r="55" spans="2:11">
      <c r="B55" s="73">
        <v>1400</v>
      </c>
      <c r="C55" s="15">
        <v>1000</v>
      </c>
      <c r="D55" s="15">
        <v>300</v>
      </c>
      <c r="E55" s="15" t="s">
        <v>331</v>
      </c>
      <c r="F55" s="10"/>
      <c r="G55" s="10"/>
      <c r="H55" s="10"/>
      <c r="I55" s="10"/>
      <c r="J55" s="10"/>
      <c r="K55" s="33"/>
    </row>
    <row r="56" spans="2:11">
      <c r="B56" s="73">
        <v>1400</v>
      </c>
      <c r="C56" s="15">
        <v>1000</v>
      </c>
      <c r="D56" s="15">
        <v>400</v>
      </c>
      <c r="E56" s="15" t="s">
        <v>336</v>
      </c>
      <c r="F56" s="10"/>
      <c r="G56" s="10"/>
      <c r="H56" s="10"/>
      <c r="I56" s="10"/>
      <c r="J56" s="10"/>
      <c r="K56" s="33"/>
    </row>
    <row r="57" spans="2:11">
      <c r="B57" s="73">
        <v>1400</v>
      </c>
      <c r="C57" s="15">
        <v>1000</v>
      </c>
      <c r="D57" s="15">
        <v>500</v>
      </c>
      <c r="E57" s="15" t="s">
        <v>344</v>
      </c>
      <c r="F57" s="10"/>
      <c r="G57" s="10"/>
      <c r="H57" s="10"/>
      <c r="I57" s="10"/>
      <c r="J57" s="10"/>
      <c r="K57" s="33"/>
    </row>
    <row r="58" spans="2:11">
      <c r="B58" s="73">
        <v>1400</v>
      </c>
      <c r="C58" s="15">
        <v>1000</v>
      </c>
      <c r="D58" s="15">
        <v>600</v>
      </c>
      <c r="E58" s="15" t="s">
        <v>340</v>
      </c>
      <c r="F58" s="10"/>
      <c r="G58" s="10"/>
      <c r="H58" s="10"/>
      <c r="I58" s="10"/>
      <c r="J58" s="10"/>
      <c r="K58" s="33"/>
    </row>
    <row r="59" spans="2:11">
      <c r="B59" s="73">
        <v>1400</v>
      </c>
      <c r="C59" s="15">
        <v>1000</v>
      </c>
      <c r="D59" s="15">
        <v>800</v>
      </c>
      <c r="E59" s="15" t="s">
        <v>343</v>
      </c>
      <c r="F59" s="10"/>
      <c r="G59" s="10"/>
      <c r="H59" s="10"/>
      <c r="I59" s="10"/>
      <c r="J59" s="10"/>
      <c r="K59" s="33"/>
    </row>
    <row r="60" spans="2:11">
      <c r="B60" s="73">
        <v>1400</v>
      </c>
      <c r="C60" s="15">
        <v>1000</v>
      </c>
      <c r="D60" s="15">
        <v>1000</v>
      </c>
      <c r="E60" s="15" t="s">
        <v>345</v>
      </c>
      <c r="F60" s="10"/>
      <c r="G60" s="10"/>
      <c r="H60" s="10"/>
      <c r="I60" s="10"/>
      <c r="J60" s="10"/>
      <c r="K60" s="33"/>
    </row>
    <row r="61" spans="2:11">
      <c r="B61" s="73">
        <v>1600</v>
      </c>
      <c r="C61" s="15">
        <v>300</v>
      </c>
      <c r="D61" s="15">
        <v>400</v>
      </c>
      <c r="E61" s="15" t="s">
        <v>346</v>
      </c>
      <c r="F61" s="10"/>
      <c r="G61" s="10"/>
      <c r="H61" s="10"/>
      <c r="I61" s="10"/>
      <c r="J61" s="10"/>
      <c r="K61" s="33"/>
    </row>
    <row r="62" spans="2:11">
      <c r="B62" s="73">
        <v>1600</v>
      </c>
      <c r="C62" s="15">
        <v>300</v>
      </c>
      <c r="D62" s="15">
        <v>500</v>
      </c>
      <c r="E62" s="15" t="s">
        <v>347</v>
      </c>
      <c r="F62" s="10"/>
      <c r="G62" s="10"/>
      <c r="H62" s="10"/>
      <c r="I62" s="10"/>
      <c r="J62" s="10"/>
      <c r="K62" s="33"/>
    </row>
    <row r="63" spans="2:11">
      <c r="B63" s="73">
        <v>1600</v>
      </c>
      <c r="C63" s="15">
        <v>300</v>
      </c>
      <c r="D63" s="15">
        <v>600</v>
      </c>
      <c r="E63" s="15" t="s">
        <v>348</v>
      </c>
      <c r="F63" s="10"/>
      <c r="G63" s="10"/>
      <c r="H63" s="10"/>
      <c r="I63" s="10"/>
      <c r="J63" s="10"/>
      <c r="K63" s="33"/>
    </row>
    <row r="64" spans="2:11">
      <c r="B64" s="73">
        <v>1600</v>
      </c>
      <c r="C64" s="15">
        <v>300</v>
      </c>
      <c r="D64" s="15">
        <v>800</v>
      </c>
      <c r="E64" s="15" t="s">
        <v>349</v>
      </c>
      <c r="F64" s="10"/>
      <c r="G64" s="10"/>
      <c r="H64" s="10"/>
      <c r="I64" s="10"/>
      <c r="J64" s="10"/>
      <c r="K64" s="33"/>
    </row>
    <row r="65" spans="2:11">
      <c r="B65" s="73">
        <v>1600</v>
      </c>
      <c r="C65" s="15">
        <v>300</v>
      </c>
      <c r="D65" s="15">
        <v>1000</v>
      </c>
      <c r="E65" s="15" t="s">
        <v>350</v>
      </c>
      <c r="F65" s="10"/>
      <c r="G65" s="10"/>
      <c r="H65" s="10"/>
      <c r="I65" s="10"/>
      <c r="J65" s="10"/>
      <c r="K65" s="33"/>
    </row>
    <row r="66" spans="2:11">
      <c r="B66" s="73">
        <v>1600</v>
      </c>
      <c r="C66" s="15">
        <v>400</v>
      </c>
      <c r="D66" s="15">
        <v>300</v>
      </c>
      <c r="E66" s="15" t="s">
        <v>346</v>
      </c>
      <c r="F66" s="10"/>
      <c r="G66" s="10"/>
      <c r="H66" s="10"/>
      <c r="I66" s="10"/>
      <c r="J66" s="10"/>
      <c r="K66" s="33"/>
    </row>
    <row r="67" spans="2:11">
      <c r="B67" s="73">
        <v>1600</v>
      </c>
      <c r="C67" s="15">
        <v>400</v>
      </c>
      <c r="D67" s="15">
        <v>400</v>
      </c>
      <c r="E67" s="15" t="s">
        <v>351</v>
      </c>
      <c r="F67" s="10"/>
      <c r="G67" s="10"/>
      <c r="H67" s="10"/>
      <c r="I67" s="10"/>
      <c r="J67" s="10"/>
      <c r="K67" s="33"/>
    </row>
    <row r="68" spans="2:11">
      <c r="B68" s="73">
        <v>1600</v>
      </c>
      <c r="C68" s="15">
        <v>400</v>
      </c>
      <c r="D68" s="15">
        <v>500</v>
      </c>
      <c r="E68" s="15" t="s">
        <v>352</v>
      </c>
      <c r="F68" s="10"/>
      <c r="G68" s="10"/>
      <c r="H68" s="10"/>
      <c r="I68" s="10"/>
      <c r="J68" s="10"/>
      <c r="K68" s="33"/>
    </row>
    <row r="69" spans="2:11">
      <c r="B69" s="73">
        <v>1600</v>
      </c>
      <c r="C69" s="15">
        <v>400</v>
      </c>
      <c r="D69" s="15">
        <v>600</v>
      </c>
      <c r="E69" s="15" t="s">
        <v>353</v>
      </c>
      <c r="F69" s="10"/>
      <c r="G69" s="10"/>
      <c r="H69" s="10"/>
      <c r="I69" s="10"/>
      <c r="J69" s="10"/>
      <c r="K69" s="33"/>
    </row>
    <row r="70" spans="2:11">
      <c r="B70" s="73">
        <v>1600</v>
      </c>
      <c r="C70" s="15">
        <v>400</v>
      </c>
      <c r="D70" s="15">
        <v>800</v>
      </c>
      <c r="E70" s="15" t="s">
        <v>354</v>
      </c>
      <c r="F70" s="10"/>
      <c r="G70" s="10"/>
      <c r="H70" s="10"/>
      <c r="I70" s="10"/>
      <c r="J70" s="10"/>
      <c r="K70" s="33"/>
    </row>
    <row r="71" spans="2:11">
      <c r="B71" s="73">
        <v>1600</v>
      </c>
      <c r="C71" s="15">
        <v>400</v>
      </c>
      <c r="D71" s="15">
        <v>1000</v>
      </c>
      <c r="E71" s="15" t="s">
        <v>355</v>
      </c>
      <c r="F71" s="10"/>
      <c r="G71" s="10"/>
      <c r="H71" s="10"/>
      <c r="I71" s="10"/>
      <c r="J71" s="10"/>
      <c r="K71" s="33"/>
    </row>
    <row r="72" spans="2:11">
      <c r="B72" s="73">
        <v>1600</v>
      </c>
      <c r="C72" s="15">
        <v>600</v>
      </c>
      <c r="D72" s="15">
        <v>300</v>
      </c>
      <c r="E72" s="15" t="s">
        <v>348</v>
      </c>
      <c r="F72" s="10"/>
      <c r="G72" s="10"/>
      <c r="H72" s="10"/>
      <c r="I72" s="10"/>
      <c r="J72" s="10"/>
      <c r="K72" s="33"/>
    </row>
    <row r="73" spans="2:11">
      <c r="B73" s="73">
        <v>1600</v>
      </c>
      <c r="C73" s="15">
        <v>600</v>
      </c>
      <c r="D73" s="15">
        <v>400</v>
      </c>
      <c r="E73" s="15" t="s">
        <v>353</v>
      </c>
      <c r="F73" s="10"/>
      <c r="G73" s="10"/>
      <c r="H73" s="10"/>
      <c r="I73" s="10"/>
      <c r="J73" s="10"/>
      <c r="K73" s="33"/>
    </row>
    <row r="74" spans="2:11">
      <c r="B74" s="73">
        <v>1600</v>
      </c>
      <c r="C74" s="15">
        <v>600</v>
      </c>
      <c r="D74" s="15">
        <v>500</v>
      </c>
      <c r="E74" s="15" t="s">
        <v>356</v>
      </c>
      <c r="F74" s="10"/>
      <c r="G74" s="10"/>
      <c r="H74" s="10"/>
      <c r="I74" s="69" t="s">
        <v>456</v>
      </c>
      <c r="J74" s="70" t="s">
        <v>457</v>
      </c>
      <c r="K74" s="74">
        <v>26897</v>
      </c>
    </row>
    <row r="75" spans="2:11">
      <c r="B75" s="73">
        <v>1600</v>
      </c>
      <c r="C75" s="15">
        <v>600</v>
      </c>
      <c r="D75" s="15">
        <v>600</v>
      </c>
      <c r="E75" s="15" t="s">
        <v>357</v>
      </c>
      <c r="F75" s="10"/>
      <c r="G75" s="10"/>
      <c r="H75" s="10"/>
      <c r="I75" s="10"/>
      <c r="J75" s="10"/>
      <c r="K75" s="33"/>
    </row>
    <row r="76" spans="2:11">
      <c r="B76" s="73">
        <v>1600</v>
      </c>
      <c r="C76" s="15">
        <v>600</v>
      </c>
      <c r="D76" s="15">
        <v>800</v>
      </c>
      <c r="E76" s="15" t="s">
        <v>358</v>
      </c>
      <c r="F76" s="10"/>
      <c r="G76" s="10"/>
      <c r="H76" s="10"/>
      <c r="I76" s="10"/>
      <c r="J76" s="10"/>
      <c r="K76" s="33"/>
    </row>
    <row r="77" spans="2:11">
      <c r="B77" s="73">
        <v>1600</v>
      </c>
      <c r="C77" s="15">
        <v>600</v>
      </c>
      <c r="D77" s="15">
        <v>1000</v>
      </c>
      <c r="E77" s="15" t="s">
        <v>359</v>
      </c>
      <c r="F77" s="10"/>
      <c r="G77" s="10"/>
      <c r="H77" s="10"/>
      <c r="I77" s="10"/>
      <c r="J77" s="10"/>
      <c r="K77" s="33"/>
    </row>
    <row r="78" spans="2:11">
      <c r="B78" s="73">
        <v>1600</v>
      </c>
      <c r="C78" s="15">
        <v>800</v>
      </c>
      <c r="D78" s="15">
        <v>300</v>
      </c>
      <c r="E78" s="15" t="s">
        <v>349</v>
      </c>
      <c r="F78" s="10"/>
      <c r="G78" s="10"/>
      <c r="H78" s="10"/>
      <c r="I78" s="10"/>
      <c r="J78" s="10"/>
      <c r="K78" s="33"/>
    </row>
    <row r="79" spans="2:11">
      <c r="B79" s="73">
        <v>1600</v>
      </c>
      <c r="C79" s="15">
        <v>800</v>
      </c>
      <c r="D79" s="15">
        <v>400</v>
      </c>
      <c r="E79" s="15" t="s">
        <v>354</v>
      </c>
      <c r="F79" s="10"/>
      <c r="G79" s="10"/>
      <c r="H79" s="10"/>
      <c r="I79" s="69" t="s">
        <v>458</v>
      </c>
      <c r="J79" s="70" t="s">
        <v>459</v>
      </c>
      <c r="K79" s="74">
        <v>26400</v>
      </c>
    </row>
    <row r="80" spans="2:11">
      <c r="B80" s="73">
        <v>1600</v>
      </c>
      <c r="C80" s="15">
        <v>800</v>
      </c>
      <c r="D80" s="15">
        <v>500</v>
      </c>
      <c r="E80" s="15" t="s">
        <v>360</v>
      </c>
      <c r="F80" s="10"/>
      <c r="G80" s="10"/>
      <c r="H80" s="10"/>
      <c r="I80" s="69" t="s">
        <v>460</v>
      </c>
      <c r="J80" s="70" t="s">
        <v>461</v>
      </c>
      <c r="K80" s="74">
        <v>29023</v>
      </c>
    </row>
    <row r="81" spans="2:11">
      <c r="B81" s="73">
        <v>1600</v>
      </c>
      <c r="C81" s="15">
        <v>600</v>
      </c>
      <c r="D81" s="15">
        <v>600</v>
      </c>
      <c r="E81" s="15" t="s">
        <v>357</v>
      </c>
      <c r="F81" s="10"/>
      <c r="G81" s="10"/>
      <c r="H81" s="10"/>
      <c r="I81" s="10"/>
      <c r="J81" s="10"/>
      <c r="K81" s="33"/>
    </row>
    <row r="82" spans="2:11">
      <c r="B82" s="73">
        <v>1600</v>
      </c>
      <c r="C82" s="15">
        <v>800</v>
      </c>
      <c r="D82" s="15">
        <v>800</v>
      </c>
      <c r="E82" s="15" t="s">
        <v>361</v>
      </c>
      <c r="F82" s="10"/>
      <c r="G82" s="10"/>
      <c r="H82" s="10"/>
      <c r="I82" s="10"/>
      <c r="J82" s="10"/>
      <c r="K82" s="33"/>
    </row>
    <row r="83" spans="2:11">
      <c r="B83" s="73">
        <v>1600</v>
      </c>
      <c r="C83" s="15">
        <v>800</v>
      </c>
      <c r="D83" s="15">
        <v>1000</v>
      </c>
      <c r="E83" s="15" t="s">
        <v>362</v>
      </c>
      <c r="F83" s="10"/>
      <c r="G83" s="10"/>
      <c r="H83" s="10"/>
      <c r="I83" s="10"/>
      <c r="J83" s="10"/>
      <c r="K83" s="33"/>
    </row>
    <row r="84" spans="2:11">
      <c r="B84" s="73">
        <v>1600</v>
      </c>
      <c r="C84" s="15">
        <v>1000</v>
      </c>
      <c r="D84" s="15">
        <v>300</v>
      </c>
      <c r="E84" s="15" t="s">
        <v>350</v>
      </c>
      <c r="F84" s="10"/>
      <c r="G84" s="10"/>
      <c r="H84" s="10"/>
      <c r="I84" s="10"/>
      <c r="J84" s="10"/>
      <c r="K84" s="33"/>
    </row>
    <row r="85" spans="2:11">
      <c r="B85" s="73">
        <v>1600</v>
      </c>
      <c r="C85" s="15">
        <v>1000</v>
      </c>
      <c r="D85" s="15">
        <v>400</v>
      </c>
      <c r="E85" s="15" t="s">
        <v>355</v>
      </c>
      <c r="F85" s="10"/>
      <c r="G85" s="10"/>
      <c r="H85" s="10"/>
      <c r="I85" s="10"/>
      <c r="J85" s="10"/>
      <c r="K85" s="33"/>
    </row>
    <row r="86" spans="2:11">
      <c r="B86" s="73">
        <v>1600</v>
      </c>
      <c r="C86" s="15">
        <v>1000</v>
      </c>
      <c r="D86" s="15">
        <v>500</v>
      </c>
      <c r="E86" s="15" t="s">
        <v>363</v>
      </c>
      <c r="F86" s="10"/>
      <c r="G86" s="10"/>
      <c r="H86" s="10"/>
      <c r="I86" s="69" t="s">
        <v>423</v>
      </c>
      <c r="J86" s="70" t="s">
        <v>424</v>
      </c>
      <c r="K86" s="74">
        <v>42985</v>
      </c>
    </row>
    <row r="87" spans="2:11">
      <c r="B87" s="73">
        <v>1600</v>
      </c>
      <c r="C87" s="15">
        <v>1000</v>
      </c>
      <c r="D87" s="15">
        <v>600</v>
      </c>
      <c r="E87" s="15" t="s">
        <v>359</v>
      </c>
      <c r="F87" s="10"/>
      <c r="G87" s="10"/>
      <c r="H87" s="10"/>
      <c r="I87" s="10"/>
      <c r="J87" s="10"/>
      <c r="K87" s="33"/>
    </row>
    <row r="88" spans="2:11">
      <c r="B88" s="73">
        <v>1600</v>
      </c>
      <c r="C88" s="15">
        <v>1000</v>
      </c>
      <c r="D88" s="15">
        <v>800</v>
      </c>
      <c r="E88" s="15" t="s">
        <v>362</v>
      </c>
      <c r="F88" s="10"/>
      <c r="G88" s="10"/>
      <c r="H88" s="10"/>
      <c r="I88" s="10"/>
      <c r="J88" s="10"/>
      <c r="K88" s="33"/>
    </row>
    <row r="89" spans="2:11">
      <c r="B89" s="73">
        <v>1600</v>
      </c>
      <c r="C89" s="15">
        <v>1000</v>
      </c>
      <c r="D89" s="15">
        <v>1000</v>
      </c>
      <c r="E89" s="15" t="s">
        <v>364</v>
      </c>
      <c r="F89" s="10"/>
      <c r="G89" s="10"/>
      <c r="H89" s="10"/>
      <c r="I89" s="10"/>
      <c r="J89" s="10"/>
      <c r="K89" s="33"/>
    </row>
    <row r="90" spans="2:11">
      <c r="B90" s="73">
        <v>1800</v>
      </c>
      <c r="C90" s="15">
        <v>300</v>
      </c>
      <c r="D90" s="15">
        <v>400</v>
      </c>
      <c r="E90" s="15" t="s">
        <v>365</v>
      </c>
      <c r="F90" s="10"/>
      <c r="G90" s="10"/>
      <c r="H90" s="10"/>
      <c r="I90" s="10"/>
      <c r="J90" s="10"/>
      <c r="K90" s="33"/>
    </row>
    <row r="91" spans="2:11">
      <c r="B91" s="73">
        <v>1800</v>
      </c>
      <c r="C91" s="15">
        <v>300</v>
      </c>
      <c r="D91" s="15">
        <v>500</v>
      </c>
      <c r="E91" s="15" t="s">
        <v>366</v>
      </c>
      <c r="F91" s="10"/>
      <c r="G91" s="10"/>
      <c r="H91" s="10"/>
      <c r="I91" s="10"/>
      <c r="J91" s="10"/>
      <c r="K91" s="33"/>
    </row>
    <row r="92" spans="2:11">
      <c r="B92" s="73">
        <v>1800</v>
      </c>
      <c r="C92" s="15">
        <v>300</v>
      </c>
      <c r="D92" s="15">
        <v>600</v>
      </c>
      <c r="E92" s="15" t="s">
        <v>289</v>
      </c>
      <c r="F92" s="10"/>
      <c r="G92" s="10"/>
      <c r="H92" s="10"/>
      <c r="I92" s="10"/>
      <c r="J92" s="10"/>
      <c r="K92" s="33"/>
    </row>
    <row r="93" spans="2:11">
      <c r="B93" s="73">
        <v>1800</v>
      </c>
      <c r="C93" s="15">
        <v>300</v>
      </c>
      <c r="D93" s="15">
        <v>800</v>
      </c>
      <c r="E93" s="15" t="s">
        <v>295</v>
      </c>
      <c r="F93" s="10"/>
      <c r="G93" s="10"/>
      <c r="H93" s="10"/>
      <c r="I93" s="10"/>
      <c r="J93" s="10"/>
      <c r="K93" s="33"/>
    </row>
    <row r="94" spans="2:11">
      <c r="B94" s="73">
        <v>1800</v>
      </c>
      <c r="C94" s="15">
        <v>300</v>
      </c>
      <c r="D94" s="15">
        <v>1000</v>
      </c>
      <c r="E94" s="15" t="s">
        <v>299</v>
      </c>
      <c r="F94" s="10"/>
      <c r="G94" s="10"/>
      <c r="H94" s="10"/>
      <c r="I94" s="10"/>
      <c r="J94" s="10"/>
      <c r="K94" s="33"/>
    </row>
    <row r="95" spans="2:11">
      <c r="B95" s="73">
        <v>1800</v>
      </c>
      <c r="C95" s="15">
        <v>400</v>
      </c>
      <c r="D95" s="15">
        <v>300</v>
      </c>
      <c r="E95" s="15" t="s">
        <v>365</v>
      </c>
      <c r="F95" s="10"/>
      <c r="G95" s="10"/>
      <c r="H95" s="10"/>
      <c r="I95" s="10"/>
      <c r="J95" s="10"/>
      <c r="K95" s="33"/>
    </row>
    <row r="96" spans="2:11">
      <c r="B96" s="73">
        <v>1800</v>
      </c>
      <c r="C96" s="15">
        <v>400</v>
      </c>
      <c r="D96" s="15">
        <v>400</v>
      </c>
      <c r="E96" s="15" t="s">
        <v>367</v>
      </c>
      <c r="F96" s="10"/>
      <c r="G96" s="10"/>
      <c r="H96" s="10"/>
      <c r="I96" s="10"/>
      <c r="J96" s="10"/>
      <c r="K96" s="33"/>
    </row>
    <row r="97" spans="2:11">
      <c r="B97" s="73">
        <v>1800</v>
      </c>
      <c r="C97" s="15">
        <v>400</v>
      </c>
      <c r="D97" s="15">
        <v>500</v>
      </c>
      <c r="E97" s="15" t="s">
        <v>368</v>
      </c>
      <c r="F97" s="10"/>
      <c r="G97" s="10"/>
      <c r="H97" s="10"/>
      <c r="I97" s="10"/>
      <c r="J97" s="10"/>
      <c r="K97" s="33"/>
    </row>
    <row r="98" spans="2:11">
      <c r="B98" s="73">
        <v>1800</v>
      </c>
      <c r="C98" s="15">
        <v>400</v>
      </c>
      <c r="D98" s="15">
        <v>600</v>
      </c>
      <c r="E98" s="15" t="s">
        <v>290</v>
      </c>
      <c r="F98" s="10"/>
      <c r="G98" s="10"/>
      <c r="H98" s="10"/>
      <c r="I98" s="10"/>
      <c r="J98" s="10"/>
      <c r="K98" s="33"/>
    </row>
    <row r="99" spans="2:11">
      <c r="B99" s="73">
        <v>1800</v>
      </c>
      <c r="C99" s="15">
        <v>400</v>
      </c>
      <c r="D99" s="15">
        <v>800</v>
      </c>
      <c r="E99" s="15" t="s">
        <v>287</v>
      </c>
      <c r="F99" s="10"/>
      <c r="G99" s="10"/>
      <c r="H99" s="10"/>
      <c r="I99" s="10"/>
      <c r="J99" s="10"/>
      <c r="K99" s="33"/>
    </row>
    <row r="100" spans="2:11">
      <c r="B100" s="73">
        <v>1800</v>
      </c>
      <c r="C100" s="15">
        <v>400</v>
      </c>
      <c r="D100" s="15">
        <v>1000</v>
      </c>
      <c r="E100" s="15" t="s">
        <v>288</v>
      </c>
      <c r="F100" s="10"/>
      <c r="G100" s="10"/>
      <c r="H100" s="10"/>
      <c r="I100" s="10"/>
      <c r="J100" s="10"/>
      <c r="K100" s="33"/>
    </row>
    <row r="101" spans="2:11">
      <c r="B101" s="73">
        <v>1800</v>
      </c>
      <c r="C101" s="15">
        <v>600</v>
      </c>
      <c r="D101" s="15">
        <v>300</v>
      </c>
      <c r="E101" s="15" t="s">
        <v>289</v>
      </c>
      <c r="F101" s="10"/>
      <c r="G101" s="10"/>
      <c r="H101" s="10"/>
      <c r="I101" s="10"/>
      <c r="J101" s="10"/>
      <c r="K101" s="33"/>
    </row>
    <row r="102" spans="2:11">
      <c r="B102" s="73">
        <v>1800</v>
      </c>
      <c r="C102" s="15">
        <v>600</v>
      </c>
      <c r="D102" s="15">
        <v>400</v>
      </c>
      <c r="E102" s="15" t="s">
        <v>290</v>
      </c>
      <c r="F102" s="10"/>
      <c r="G102" s="10"/>
      <c r="H102" s="10"/>
      <c r="I102" s="69" t="s">
        <v>462</v>
      </c>
      <c r="J102" s="70" t="s">
        <v>463</v>
      </c>
      <c r="K102" s="74">
        <v>24381</v>
      </c>
    </row>
    <row r="103" spans="2:11">
      <c r="B103" s="73">
        <v>1800</v>
      </c>
      <c r="C103" s="15">
        <v>600</v>
      </c>
      <c r="D103" s="15">
        <v>500</v>
      </c>
      <c r="E103" s="15" t="s">
        <v>291</v>
      </c>
      <c r="F103" s="11" t="s">
        <v>402</v>
      </c>
      <c r="G103" s="11" t="s">
        <v>403</v>
      </c>
      <c r="H103" s="12">
        <v>30102</v>
      </c>
      <c r="I103" s="69" t="s">
        <v>464</v>
      </c>
      <c r="J103" s="70" t="s">
        <v>465</v>
      </c>
      <c r="K103" s="74">
        <v>27498</v>
      </c>
    </row>
    <row r="104" spans="2:11">
      <c r="B104" s="73">
        <v>1800</v>
      </c>
      <c r="C104" s="15">
        <v>600</v>
      </c>
      <c r="D104" s="15">
        <v>600</v>
      </c>
      <c r="E104" s="15" t="s">
        <v>292</v>
      </c>
      <c r="F104" s="11" t="s">
        <v>402</v>
      </c>
      <c r="G104" s="11" t="s">
        <v>404</v>
      </c>
      <c r="H104" s="12">
        <v>39175</v>
      </c>
      <c r="I104" s="69" t="s">
        <v>466</v>
      </c>
      <c r="J104" s="70" t="s">
        <v>467</v>
      </c>
      <c r="K104" s="74">
        <v>29195</v>
      </c>
    </row>
    <row r="105" spans="2:11">
      <c r="B105" s="73">
        <v>1800</v>
      </c>
      <c r="C105" s="15">
        <v>600</v>
      </c>
      <c r="D105" s="15">
        <v>800</v>
      </c>
      <c r="E105" s="15" t="s">
        <v>293</v>
      </c>
      <c r="F105" s="10"/>
      <c r="G105" s="10"/>
      <c r="H105" s="10"/>
      <c r="I105" s="10"/>
      <c r="J105" s="10"/>
      <c r="K105" s="33"/>
    </row>
    <row r="106" spans="2:11">
      <c r="B106" s="73">
        <v>1800</v>
      </c>
      <c r="C106" s="15">
        <v>600</v>
      </c>
      <c r="D106" s="15">
        <v>1000</v>
      </c>
      <c r="E106" s="15" t="s">
        <v>294</v>
      </c>
      <c r="F106" s="10"/>
      <c r="G106" s="10"/>
      <c r="H106" s="10"/>
      <c r="I106" s="10"/>
      <c r="J106" s="10"/>
      <c r="K106" s="33"/>
    </row>
    <row r="107" spans="2:11">
      <c r="B107" s="73">
        <v>1800</v>
      </c>
      <c r="C107" s="15">
        <v>800</v>
      </c>
      <c r="D107" s="15">
        <v>300</v>
      </c>
      <c r="E107" s="15" t="s">
        <v>295</v>
      </c>
      <c r="F107" s="10"/>
      <c r="G107" s="10"/>
      <c r="H107" s="10"/>
      <c r="I107" s="10"/>
      <c r="J107" s="10"/>
      <c r="K107" s="33"/>
    </row>
    <row r="108" spans="2:11">
      <c r="B108" s="73">
        <v>1800</v>
      </c>
      <c r="C108" s="15">
        <v>800</v>
      </c>
      <c r="D108" s="15">
        <v>400</v>
      </c>
      <c r="E108" s="15" t="s">
        <v>287</v>
      </c>
      <c r="F108" s="10"/>
      <c r="G108" s="10"/>
      <c r="H108" s="10"/>
      <c r="I108" s="69" t="s">
        <v>468</v>
      </c>
      <c r="J108" s="70" t="s">
        <v>469</v>
      </c>
      <c r="K108" s="74">
        <v>27499</v>
      </c>
    </row>
    <row r="109" spans="2:11">
      <c r="B109" s="73">
        <v>1800</v>
      </c>
      <c r="C109" s="15">
        <v>800</v>
      </c>
      <c r="D109" s="15">
        <v>500</v>
      </c>
      <c r="E109" s="15" t="s">
        <v>296</v>
      </c>
      <c r="F109" s="11" t="s">
        <v>402</v>
      </c>
      <c r="G109" s="11" t="s">
        <v>405</v>
      </c>
      <c r="H109" s="12">
        <v>32444</v>
      </c>
      <c r="I109" s="69" t="s">
        <v>470</v>
      </c>
      <c r="J109" s="70" t="s">
        <v>471</v>
      </c>
      <c r="K109" s="74">
        <v>30198</v>
      </c>
    </row>
    <row r="110" spans="2:11">
      <c r="B110" s="73">
        <v>1800</v>
      </c>
      <c r="C110" s="15">
        <v>600</v>
      </c>
      <c r="D110" s="15">
        <v>600</v>
      </c>
      <c r="E110" s="15" t="s">
        <v>292</v>
      </c>
      <c r="F110" s="10"/>
      <c r="G110" s="10"/>
      <c r="H110" s="10"/>
      <c r="I110" s="10"/>
      <c r="J110" s="10"/>
      <c r="K110" s="33"/>
    </row>
    <row r="111" spans="2:11">
      <c r="B111" s="73">
        <v>1800</v>
      </c>
      <c r="C111" s="15">
        <v>800</v>
      </c>
      <c r="D111" s="15">
        <v>800</v>
      </c>
      <c r="E111" s="15" t="s">
        <v>297</v>
      </c>
      <c r="F111" s="10"/>
      <c r="G111" s="10"/>
      <c r="H111" s="10"/>
      <c r="I111" s="69" t="s">
        <v>474</v>
      </c>
      <c r="J111" s="70" t="s">
        <v>475</v>
      </c>
      <c r="K111" s="74">
        <v>34430</v>
      </c>
    </row>
    <row r="112" spans="2:11">
      <c r="B112" s="73">
        <v>1800</v>
      </c>
      <c r="C112" s="15">
        <v>800</v>
      </c>
      <c r="D112" s="15">
        <v>1000</v>
      </c>
      <c r="E112" s="15" t="s">
        <v>298</v>
      </c>
      <c r="F112" s="10"/>
      <c r="G112" s="10"/>
      <c r="H112" s="10"/>
      <c r="I112" s="10"/>
      <c r="J112" s="10"/>
      <c r="K112" s="33"/>
    </row>
    <row r="113" spans="2:11">
      <c r="B113" s="73">
        <v>1800</v>
      </c>
      <c r="C113" s="15">
        <v>1000</v>
      </c>
      <c r="D113" s="15">
        <v>300</v>
      </c>
      <c r="E113" s="15" t="s">
        <v>299</v>
      </c>
      <c r="F113" s="10"/>
      <c r="G113" s="10"/>
      <c r="H113" s="10"/>
      <c r="I113" s="10"/>
      <c r="J113" s="10"/>
      <c r="K113" s="33"/>
    </row>
    <row r="114" spans="2:11">
      <c r="B114" s="73">
        <v>1800</v>
      </c>
      <c r="C114" s="15">
        <v>1000</v>
      </c>
      <c r="D114" s="15">
        <v>400</v>
      </c>
      <c r="E114" s="15" t="s">
        <v>288</v>
      </c>
      <c r="F114" s="10"/>
      <c r="G114" s="10"/>
      <c r="H114" s="10"/>
      <c r="I114" s="69" t="s">
        <v>425</v>
      </c>
      <c r="J114" s="70" t="s">
        <v>426</v>
      </c>
      <c r="K114" s="74">
        <v>44085</v>
      </c>
    </row>
    <row r="115" spans="2:11">
      <c r="B115" s="73">
        <v>1800</v>
      </c>
      <c r="C115" s="15">
        <v>1000</v>
      </c>
      <c r="D115" s="15">
        <v>500</v>
      </c>
      <c r="E115" s="15" t="s">
        <v>300</v>
      </c>
      <c r="F115" s="10"/>
      <c r="G115" s="10"/>
      <c r="H115" s="10"/>
      <c r="I115" s="10"/>
      <c r="J115" s="10"/>
      <c r="K115" s="33"/>
    </row>
    <row r="116" spans="2:11">
      <c r="B116" s="73">
        <v>1800</v>
      </c>
      <c r="C116" s="15">
        <v>1000</v>
      </c>
      <c r="D116" s="15">
        <v>600</v>
      </c>
      <c r="E116" s="15" t="s">
        <v>294</v>
      </c>
      <c r="F116" s="10"/>
      <c r="G116" s="10"/>
      <c r="H116" s="10"/>
      <c r="I116" s="10"/>
      <c r="J116" s="10"/>
      <c r="K116" s="33"/>
    </row>
    <row r="117" spans="2:11">
      <c r="B117" s="73">
        <v>1800</v>
      </c>
      <c r="C117" s="15">
        <v>1000</v>
      </c>
      <c r="D117" s="15">
        <v>800</v>
      </c>
      <c r="E117" s="15" t="s">
        <v>298</v>
      </c>
      <c r="F117" s="10"/>
      <c r="G117" s="10"/>
      <c r="H117" s="10"/>
      <c r="I117" s="10"/>
      <c r="J117" s="10"/>
      <c r="K117" s="33"/>
    </row>
    <row r="118" spans="2:11">
      <c r="B118" s="73">
        <v>1800</v>
      </c>
      <c r="C118" s="15">
        <v>1000</v>
      </c>
      <c r="D118" s="15">
        <v>1000</v>
      </c>
      <c r="E118" s="15" t="s">
        <v>301</v>
      </c>
      <c r="F118" s="10"/>
      <c r="G118" s="10"/>
      <c r="H118" s="10"/>
      <c r="I118" s="10"/>
      <c r="J118" s="10"/>
      <c r="K118" s="33"/>
    </row>
    <row r="119" spans="2:11">
      <c r="B119" s="73">
        <v>2000</v>
      </c>
      <c r="C119" s="15">
        <v>300</v>
      </c>
      <c r="D119" s="15">
        <v>400</v>
      </c>
      <c r="E119" s="15" t="s">
        <v>302</v>
      </c>
      <c r="F119" s="10"/>
      <c r="G119" s="10"/>
      <c r="H119" s="10"/>
      <c r="I119" s="10"/>
      <c r="J119" s="10"/>
      <c r="K119" s="33"/>
    </row>
    <row r="120" spans="2:11">
      <c r="B120" s="73">
        <v>2000</v>
      </c>
      <c r="C120" s="15">
        <v>300</v>
      </c>
      <c r="D120" s="15">
        <v>500</v>
      </c>
      <c r="E120" s="15" t="s">
        <v>303</v>
      </c>
      <c r="F120" s="10"/>
      <c r="G120" s="10"/>
      <c r="H120" s="10"/>
      <c r="I120" s="10"/>
      <c r="J120" s="10"/>
      <c r="K120" s="33"/>
    </row>
    <row r="121" spans="2:11">
      <c r="B121" s="73">
        <v>2000</v>
      </c>
      <c r="C121" s="15">
        <v>300</v>
      </c>
      <c r="D121" s="15">
        <v>600</v>
      </c>
      <c r="E121" s="15" t="s">
        <v>304</v>
      </c>
      <c r="F121" s="10"/>
      <c r="G121" s="10"/>
      <c r="H121" s="10"/>
      <c r="I121" s="10"/>
      <c r="J121" s="10"/>
      <c r="K121" s="33"/>
    </row>
    <row r="122" spans="2:11">
      <c r="B122" s="73">
        <v>2000</v>
      </c>
      <c r="C122" s="15">
        <v>300</v>
      </c>
      <c r="D122" s="15">
        <v>800</v>
      </c>
      <c r="E122" s="15" t="s">
        <v>305</v>
      </c>
      <c r="F122" s="10"/>
      <c r="G122" s="10"/>
      <c r="H122" s="10"/>
      <c r="I122" s="10"/>
      <c r="J122" s="10"/>
      <c r="K122" s="33"/>
    </row>
    <row r="123" spans="2:11">
      <c r="B123" s="73">
        <v>2000</v>
      </c>
      <c r="C123" s="15">
        <v>300</v>
      </c>
      <c r="D123" s="15">
        <v>1000</v>
      </c>
      <c r="E123" s="15" t="s">
        <v>306</v>
      </c>
      <c r="F123" s="10"/>
      <c r="G123" s="10"/>
      <c r="H123" s="10"/>
      <c r="I123" s="10"/>
      <c r="J123" s="10"/>
      <c r="K123" s="33"/>
    </row>
    <row r="124" spans="2:11">
      <c r="B124" s="73">
        <v>2000</v>
      </c>
      <c r="C124" s="15">
        <v>400</v>
      </c>
      <c r="D124" s="15">
        <v>300</v>
      </c>
      <c r="E124" s="15" t="s">
        <v>302</v>
      </c>
      <c r="F124" s="10"/>
      <c r="G124" s="10"/>
      <c r="H124" s="10"/>
      <c r="I124" s="10"/>
      <c r="J124" s="10"/>
      <c r="K124" s="33"/>
    </row>
    <row r="125" spans="2:11">
      <c r="B125" s="73">
        <v>2000</v>
      </c>
      <c r="C125" s="15">
        <v>400</v>
      </c>
      <c r="D125" s="15">
        <v>400</v>
      </c>
      <c r="E125" s="15" t="s">
        <v>369</v>
      </c>
      <c r="F125" s="10"/>
      <c r="G125" s="10"/>
      <c r="H125" s="10"/>
      <c r="I125" s="10"/>
      <c r="J125" s="10"/>
      <c r="K125" s="33"/>
    </row>
    <row r="126" spans="2:11">
      <c r="B126" s="73">
        <v>2000</v>
      </c>
      <c r="C126" s="15">
        <v>400</v>
      </c>
      <c r="D126" s="15">
        <v>500</v>
      </c>
      <c r="E126" s="15" t="s">
        <v>370</v>
      </c>
      <c r="F126" s="10"/>
      <c r="G126" s="10"/>
      <c r="H126" s="10"/>
      <c r="I126" s="10"/>
      <c r="J126" s="10"/>
      <c r="K126" s="33"/>
    </row>
    <row r="127" spans="2:11">
      <c r="B127" s="73">
        <v>2000</v>
      </c>
      <c r="C127" s="15">
        <v>400</v>
      </c>
      <c r="D127" s="15">
        <v>600</v>
      </c>
      <c r="E127" s="15" t="s">
        <v>371</v>
      </c>
      <c r="F127" s="10"/>
      <c r="G127" s="10"/>
      <c r="H127" s="10"/>
      <c r="I127" s="71" t="s">
        <v>476</v>
      </c>
      <c r="J127" s="29" t="s">
        <v>477</v>
      </c>
      <c r="K127" s="37">
        <v>20900</v>
      </c>
    </row>
    <row r="128" spans="2:11">
      <c r="B128" s="73">
        <v>2000</v>
      </c>
      <c r="C128" s="15">
        <v>400</v>
      </c>
      <c r="D128" s="15">
        <v>800</v>
      </c>
      <c r="E128" s="15" t="s">
        <v>372</v>
      </c>
      <c r="F128" s="10"/>
      <c r="G128" s="10"/>
      <c r="H128" s="10"/>
      <c r="I128" s="10"/>
      <c r="J128" s="10"/>
      <c r="K128" s="33"/>
    </row>
    <row r="129" spans="2:11">
      <c r="B129" s="73">
        <v>2000</v>
      </c>
      <c r="C129" s="15">
        <v>400</v>
      </c>
      <c r="D129" s="15">
        <v>1000</v>
      </c>
      <c r="E129" s="15" t="s">
        <v>373</v>
      </c>
      <c r="F129" s="10"/>
      <c r="G129" s="10"/>
      <c r="H129" s="10"/>
      <c r="I129" s="10"/>
      <c r="J129" s="10"/>
      <c r="K129" s="33"/>
    </row>
    <row r="130" spans="2:11">
      <c r="B130" s="73">
        <v>2000</v>
      </c>
      <c r="C130" s="15">
        <v>600</v>
      </c>
      <c r="D130" s="15">
        <v>300</v>
      </c>
      <c r="E130" s="15" t="s">
        <v>304</v>
      </c>
      <c r="F130" s="10"/>
      <c r="G130" s="10"/>
      <c r="H130" s="10"/>
      <c r="I130" s="10"/>
      <c r="J130" s="10"/>
      <c r="K130" s="33"/>
    </row>
    <row r="131" spans="2:11">
      <c r="B131" s="73">
        <v>2000</v>
      </c>
      <c r="C131" s="15">
        <v>600</v>
      </c>
      <c r="D131" s="15">
        <v>400</v>
      </c>
      <c r="E131" s="15" t="s">
        <v>371</v>
      </c>
      <c r="F131" s="11" t="s">
        <v>402</v>
      </c>
      <c r="G131" s="11" t="s">
        <v>407</v>
      </c>
      <c r="H131" s="12">
        <v>30913</v>
      </c>
      <c r="I131" s="69" t="s">
        <v>478</v>
      </c>
      <c r="J131" s="70" t="s">
        <v>479</v>
      </c>
      <c r="K131" s="74">
        <v>27306</v>
      </c>
    </row>
    <row r="132" spans="2:11">
      <c r="B132" s="73">
        <v>2000</v>
      </c>
      <c r="C132" s="15">
        <v>600</v>
      </c>
      <c r="D132" s="15">
        <v>500</v>
      </c>
      <c r="E132" s="15" t="s">
        <v>374</v>
      </c>
      <c r="F132" s="10"/>
      <c r="G132" s="10"/>
      <c r="H132" s="10"/>
      <c r="I132" s="69" t="s">
        <v>480</v>
      </c>
      <c r="J132" s="70" t="s">
        <v>481</v>
      </c>
      <c r="K132" s="74">
        <v>27306</v>
      </c>
    </row>
    <row r="133" spans="2:11">
      <c r="B133" s="73">
        <v>2000</v>
      </c>
      <c r="C133" s="15">
        <v>600</v>
      </c>
      <c r="D133" s="15">
        <v>600</v>
      </c>
      <c r="E133" s="15" t="s">
        <v>375</v>
      </c>
      <c r="F133" s="11" t="s">
        <v>402</v>
      </c>
      <c r="G133" s="11" t="s">
        <v>408</v>
      </c>
      <c r="H133" s="12">
        <v>32274</v>
      </c>
      <c r="I133" s="69" t="s">
        <v>482</v>
      </c>
      <c r="J133" s="70" t="s">
        <v>483</v>
      </c>
      <c r="K133" s="74">
        <v>28950</v>
      </c>
    </row>
    <row r="134" spans="2:11">
      <c r="B134" s="73">
        <v>2000</v>
      </c>
      <c r="C134" s="15">
        <v>600</v>
      </c>
      <c r="D134" s="15">
        <v>800</v>
      </c>
      <c r="E134" s="15" t="s">
        <v>376</v>
      </c>
      <c r="F134" s="11" t="s">
        <v>402</v>
      </c>
      <c r="G134" s="11" t="s">
        <v>411</v>
      </c>
      <c r="H134" s="12">
        <v>52790</v>
      </c>
      <c r="I134" s="69" t="s">
        <v>484</v>
      </c>
      <c r="J134" s="70" t="s">
        <v>485</v>
      </c>
      <c r="K134" s="74">
        <v>33595</v>
      </c>
    </row>
    <row r="135" spans="2:11">
      <c r="B135" s="73">
        <v>2000</v>
      </c>
      <c r="C135" s="15">
        <v>600</v>
      </c>
      <c r="D135" s="15">
        <v>1000</v>
      </c>
      <c r="E135" s="15" t="s">
        <v>377</v>
      </c>
      <c r="F135" s="10"/>
      <c r="G135" s="10"/>
      <c r="H135" s="10"/>
      <c r="I135" s="10"/>
      <c r="J135" s="10"/>
      <c r="K135" s="33"/>
    </row>
    <row r="136" spans="2:11">
      <c r="B136" s="73">
        <v>2000</v>
      </c>
      <c r="C136" s="15">
        <v>800</v>
      </c>
      <c r="D136" s="15">
        <v>300</v>
      </c>
      <c r="E136" s="15" t="s">
        <v>305</v>
      </c>
      <c r="F136" s="10"/>
      <c r="G136" s="10"/>
      <c r="H136" s="10"/>
      <c r="I136" s="10"/>
      <c r="J136" s="10"/>
      <c r="K136" s="33"/>
    </row>
    <row r="137" spans="2:11">
      <c r="B137" s="73">
        <v>2000</v>
      </c>
      <c r="C137" s="15">
        <v>800</v>
      </c>
      <c r="D137" s="15">
        <v>400</v>
      </c>
      <c r="E137" s="15" t="s">
        <v>372</v>
      </c>
      <c r="F137" s="10"/>
      <c r="G137" s="10"/>
      <c r="H137" s="10"/>
      <c r="I137" s="69" t="s">
        <v>486</v>
      </c>
      <c r="J137" s="70" t="s">
        <v>487</v>
      </c>
      <c r="K137" s="74">
        <v>28934</v>
      </c>
    </row>
    <row r="138" spans="2:11">
      <c r="B138" s="73">
        <v>2000</v>
      </c>
      <c r="C138" s="15">
        <v>800</v>
      </c>
      <c r="D138" s="15">
        <v>500</v>
      </c>
      <c r="E138" s="15" t="s">
        <v>378</v>
      </c>
      <c r="F138" s="10"/>
      <c r="G138" s="10"/>
      <c r="H138" s="10"/>
      <c r="I138" s="69" t="s">
        <v>488</v>
      </c>
      <c r="J138" s="70" t="s">
        <v>489</v>
      </c>
      <c r="K138" s="74">
        <v>30166</v>
      </c>
    </row>
    <row r="139" spans="2:11">
      <c r="B139" s="73">
        <v>2000</v>
      </c>
      <c r="C139" s="15">
        <v>600</v>
      </c>
      <c r="D139" s="15">
        <v>600</v>
      </c>
      <c r="E139" s="15" t="s">
        <v>375</v>
      </c>
      <c r="F139" s="10"/>
      <c r="G139" s="10"/>
      <c r="H139" s="10"/>
      <c r="I139" s="10"/>
      <c r="J139" s="10"/>
      <c r="K139" s="33"/>
    </row>
    <row r="140" spans="2:11">
      <c r="B140" s="73">
        <v>2000</v>
      </c>
      <c r="C140" s="15">
        <v>800</v>
      </c>
      <c r="D140" s="15">
        <v>800</v>
      </c>
      <c r="E140" s="15" t="s">
        <v>379</v>
      </c>
      <c r="F140" s="11" t="s">
        <v>402</v>
      </c>
      <c r="G140" s="11" t="s">
        <v>421</v>
      </c>
      <c r="H140" s="12">
        <v>56010</v>
      </c>
      <c r="I140" s="69" t="s">
        <v>492</v>
      </c>
      <c r="J140" s="70" t="s">
        <v>493</v>
      </c>
      <c r="K140" s="74">
        <v>34600</v>
      </c>
    </row>
    <row r="141" spans="2:11">
      <c r="B141" s="73">
        <v>2000</v>
      </c>
      <c r="C141" s="15">
        <v>800</v>
      </c>
      <c r="D141" s="15">
        <v>1000</v>
      </c>
      <c r="E141" s="15" t="s">
        <v>380</v>
      </c>
      <c r="F141" s="10"/>
      <c r="G141" s="10"/>
      <c r="H141" s="10"/>
      <c r="I141" s="10"/>
      <c r="J141" s="10"/>
      <c r="K141" s="33"/>
    </row>
    <row r="142" spans="2:11">
      <c r="B142" s="73">
        <v>2000</v>
      </c>
      <c r="C142" s="15">
        <v>1000</v>
      </c>
      <c r="D142" s="15">
        <v>300</v>
      </c>
      <c r="E142" s="15" t="s">
        <v>306</v>
      </c>
      <c r="F142" s="10"/>
      <c r="G142" s="10"/>
      <c r="H142" s="10"/>
      <c r="I142" s="10"/>
      <c r="J142" s="10"/>
      <c r="K142" s="33"/>
    </row>
    <row r="143" spans="2:11">
      <c r="B143" s="73">
        <v>2000</v>
      </c>
      <c r="C143" s="15">
        <v>1000</v>
      </c>
      <c r="D143" s="15">
        <v>400</v>
      </c>
      <c r="E143" s="15" t="s">
        <v>373</v>
      </c>
      <c r="F143" s="10"/>
      <c r="G143" s="10"/>
      <c r="H143" s="10"/>
      <c r="I143" s="69" t="s">
        <v>433</v>
      </c>
      <c r="J143" s="70" t="s">
        <v>434</v>
      </c>
      <c r="K143" s="74">
        <v>45224</v>
      </c>
    </row>
    <row r="144" spans="2:11">
      <c r="B144" s="73">
        <v>2000</v>
      </c>
      <c r="C144" s="15">
        <v>1000</v>
      </c>
      <c r="D144" s="15">
        <v>500</v>
      </c>
      <c r="E144" s="15" t="s">
        <v>381</v>
      </c>
      <c r="F144" s="10"/>
      <c r="G144" s="10"/>
      <c r="H144" s="10"/>
      <c r="I144" s="69" t="s">
        <v>435</v>
      </c>
      <c r="J144" s="70" t="s">
        <v>436</v>
      </c>
      <c r="K144" s="74">
        <v>45502</v>
      </c>
    </row>
    <row r="145" spans="2:11">
      <c r="B145" s="73">
        <v>2000</v>
      </c>
      <c r="C145" s="15">
        <v>1000</v>
      </c>
      <c r="D145" s="15">
        <v>600</v>
      </c>
      <c r="E145" s="15" t="s">
        <v>377</v>
      </c>
      <c r="F145" s="10"/>
      <c r="G145" s="10"/>
      <c r="H145" s="10"/>
      <c r="I145" s="69" t="s">
        <v>437</v>
      </c>
      <c r="J145" s="70" t="s">
        <v>438</v>
      </c>
      <c r="K145" s="74">
        <v>46109</v>
      </c>
    </row>
    <row r="146" spans="2:11">
      <c r="B146" s="73">
        <v>2000</v>
      </c>
      <c r="C146" s="15">
        <v>1000</v>
      </c>
      <c r="D146" s="15">
        <v>800</v>
      </c>
      <c r="E146" s="15" t="s">
        <v>380</v>
      </c>
      <c r="F146" s="10"/>
      <c r="G146" s="10"/>
      <c r="H146" s="10"/>
      <c r="I146" s="10"/>
      <c r="J146" s="10"/>
      <c r="K146" s="33"/>
    </row>
    <row r="147" spans="2:11">
      <c r="B147" s="73">
        <v>2000</v>
      </c>
      <c r="C147" s="15">
        <v>1000</v>
      </c>
      <c r="D147" s="15">
        <v>1000</v>
      </c>
      <c r="E147" s="15" t="s">
        <v>382</v>
      </c>
      <c r="F147" s="10"/>
      <c r="G147" s="10"/>
      <c r="H147" s="10"/>
      <c r="I147" s="10"/>
      <c r="J147" s="10"/>
      <c r="K147" s="33"/>
    </row>
    <row r="148" spans="2:11">
      <c r="B148" s="73">
        <v>2200</v>
      </c>
      <c r="C148" s="15">
        <v>300</v>
      </c>
      <c r="D148" s="15">
        <v>400</v>
      </c>
      <c r="E148" s="15" t="s">
        <v>383</v>
      </c>
      <c r="F148" s="10"/>
      <c r="G148" s="10"/>
      <c r="H148" s="10"/>
      <c r="I148" s="10"/>
      <c r="J148" s="10"/>
      <c r="K148" s="33"/>
    </row>
    <row r="149" spans="2:11">
      <c r="B149" s="73">
        <v>2200</v>
      </c>
      <c r="C149" s="15">
        <v>300</v>
      </c>
      <c r="D149" s="15">
        <v>500</v>
      </c>
      <c r="E149" s="15" t="s">
        <v>384</v>
      </c>
      <c r="F149" s="10"/>
      <c r="G149" s="10"/>
      <c r="H149" s="10"/>
      <c r="I149" s="10"/>
      <c r="J149" s="10"/>
      <c r="K149" s="33"/>
    </row>
    <row r="150" spans="2:11">
      <c r="B150" s="73">
        <v>2200</v>
      </c>
      <c r="C150" s="15">
        <v>300</v>
      </c>
      <c r="D150" s="15">
        <v>600</v>
      </c>
      <c r="E150" s="15" t="s">
        <v>385</v>
      </c>
      <c r="F150" s="10"/>
      <c r="G150" s="10"/>
      <c r="H150" s="10"/>
      <c r="I150" s="10"/>
      <c r="J150" s="10"/>
      <c r="K150" s="33"/>
    </row>
    <row r="151" spans="2:11">
      <c r="B151" s="73">
        <v>2200</v>
      </c>
      <c r="C151" s="15">
        <v>300</v>
      </c>
      <c r="D151" s="15">
        <v>800</v>
      </c>
      <c r="E151" s="15" t="s">
        <v>386</v>
      </c>
      <c r="F151" s="10"/>
      <c r="G151" s="10"/>
      <c r="H151" s="10"/>
      <c r="I151" s="10"/>
      <c r="J151" s="10"/>
      <c r="K151" s="33"/>
    </row>
    <row r="152" spans="2:11">
      <c r="B152" s="73">
        <v>2200</v>
      </c>
      <c r="C152" s="15">
        <v>300</v>
      </c>
      <c r="D152" s="15">
        <v>1000</v>
      </c>
      <c r="E152" s="15" t="s">
        <v>387</v>
      </c>
      <c r="F152" s="10"/>
      <c r="G152" s="10"/>
      <c r="H152" s="10"/>
      <c r="I152" s="10"/>
      <c r="J152" s="10"/>
      <c r="K152" s="33"/>
    </row>
    <row r="153" spans="2:11">
      <c r="B153" s="73">
        <v>2200</v>
      </c>
      <c r="C153" s="15">
        <v>400</v>
      </c>
      <c r="D153" s="15">
        <v>300</v>
      </c>
      <c r="E153" s="15" t="s">
        <v>383</v>
      </c>
      <c r="F153" s="10"/>
      <c r="G153" s="10"/>
      <c r="H153" s="10"/>
      <c r="I153" s="10"/>
      <c r="J153" s="10"/>
      <c r="K153" s="33"/>
    </row>
    <row r="154" spans="2:11">
      <c r="B154" s="73">
        <v>2200</v>
      </c>
      <c r="C154" s="15">
        <v>400</v>
      </c>
      <c r="D154" s="15">
        <v>400</v>
      </c>
      <c r="E154" s="15" t="s">
        <v>388</v>
      </c>
      <c r="F154" s="10"/>
      <c r="G154" s="10"/>
      <c r="H154" s="10"/>
      <c r="I154" s="10"/>
      <c r="J154" s="10"/>
      <c r="K154" s="33"/>
    </row>
    <row r="155" spans="2:11">
      <c r="B155" s="73">
        <v>2200</v>
      </c>
      <c r="C155" s="15">
        <v>400</v>
      </c>
      <c r="D155" s="15">
        <v>500</v>
      </c>
      <c r="E155" s="15" t="s">
        <v>389</v>
      </c>
      <c r="F155" s="10"/>
      <c r="G155" s="10"/>
      <c r="H155" s="10"/>
      <c r="I155" s="10"/>
      <c r="J155" s="10"/>
      <c r="K155" s="33"/>
    </row>
    <row r="156" spans="2:11">
      <c r="B156" s="73">
        <v>2200</v>
      </c>
      <c r="C156" s="15">
        <v>400</v>
      </c>
      <c r="D156" s="15">
        <v>600</v>
      </c>
      <c r="E156" s="15" t="s">
        <v>390</v>
      </c>
      <c r="F156" s="10"/>
      <c r="G156" s="10"/>
      <c r="H156" s="10"/>
      <c r="I156" s="10"/>
      <c r="J156" s="10"/>
      <c r="K156" s="33"/>
    </row>
    <row r="157" spans="2:11">
      <c r="B157" s="73">
        <v>2200</v>
      </c>
      <c r="C157" s="15">
        <v>400</v>
      </c>
      <c r="D157" s="15">
        <v>800</v>
      </c>
      <c r="E157" s="15" t="s">
        <v>391</v>
      </c>
      <c r="F157" s="10"/>
      <c r="G157" s="10"/>
      <c r="H157" s="10"/>
      <c r="I157" s="10"/>
      <c r="J157" s="10"/>
      <c r="K157" s="33"/>
    </row>
    <row r="158" spans="2:11">
      <c r="B158" s="73">
        <v>2200</v>
      </c>
      <c r="C158" s="15">
        <v>400</v>
      </c>
      <c r="D158" s="15">
        <v>1000</v>
      </c>
      <c r="E158" s="15" t="s">
        <v>392</v>
      </c>
      <c r="F158" s="10"/>
      <c r="G158" s="10"/>
      <c r="H158" s="10"/>
      <c r="I158" s="10"/>
      <c r="J158" s="10"/>
      <c r="K158" s="33"/>
    </row>
    <row r="159" spans="2:11">
      <c r="B159" s="73">
        <v>2200</v>
      </c>
      <c r="C159" s="15">
        <v>600</v>
      </c>
      <c r="D159" s="15">
        <v>300</v>
      </c>
      <c r="E159" s="15" t="s">
        <v>385</v>
      </c>
      <c r="F159" s="10"/>
      <c r="G159" s="10"/>
      <c r="H159" s="10"/>
      <c r="I159" s="10"/>
      <c r="J159" s="10"/>
      <c r="K159" s="33"/>
    </row>
    <row r="160" spans="2:11">
      <c r="B160" s="73">
        <v>2200</v>
      </c>
      <c r="C160" s="15">
        <v>600</v>
      </c>
      <c r="D160" s="15">
        <v>400</v>
      </c>
      <c r="E160" s="15" t="s">
        <v>390</v>
      </c>
      <c r="F160" s="10"/>
      <c r="G160" s="10"/>
      <c r="H160" s="10"/>
      <c r="I160" s="10"/>
      <c r="J160" s="10"/>
      <c r="K160" s="33"/>
    </row>
    <row r="161" spans="2:11">
      <c r="B161" s="73">
        <v>2200</v>
      </c>
      <c r="C161" s="15">
        <v>600</v>
      </c>
      <c r="D161" s="15">
        <v>500</v>
      </c>
      <c r="E161" s="15" t="s">
        <v>393</v>
      </c>
      <c r="F161" s="10"/>
      <c r="G161" s="10"/>
      <c r="H161" s="10"/>
      <c r="I161" s="10"/>
      <c r="J161" s="10"/>
      <c r="K161" s="33"/>
    </row>
    <row r="162" spans="2:11">
      <c r="B162" s="73">
        <v>2200</v>
      </c>
      <c r="C162" s="15">
        <v>600</v>
      </c>
      <c r="D162" s="15">
        <v>600</v>
      </c>
      <c r="E162" s="15" t="s">
        <v>394</v>
      </c>
      <c r="F162" s="10"/>
      <c r="G162" s="10"/>
      <c r="H162" s="10"/>
      <c r="I162" s="69" t="s">
        <v>494</v>
      </c>
      <c r="J162" s="70" t="s">
        <v>495</v>
      </c>
      <c r="K162" s="74">
        <v>32395</v>
      </c>
    </row>
    <row r="163" spans="2:11">
      <c r="B163" s="73">
        <v>2200</v>
      </c>
      <c r="C163" s="15">
        <v>600</v>
      </c>
      <c r="D163" s="15">
        <v>800</v>
      </c>
      <c r="E163" s="15" t="s">
        <v>395</v>
      </c>
      <c r="F163" s="10"/>
      <c r="G163" s="10"/>
      <c r="H163" s="10"/>
      <c r="I163" s="69" t="s">
        <v>496</v>
      </c>
      <c r="J163" s="70" t="s">
        <v>497</v>
      </c>
      <c r="K163" s="74">
        <v>34645</v>
      </c>
    </row>
    <row r="164" spans="2:11">
      <c r="B164" s="73">
        <v>2200</v>
      </c>
      <c r="C164" s="15">
        <v>600</v>
      </c>
      <c r="D164" s="15">
        <v>1000</v>
      </c>
      <c r="E164" s="15" t="s">
        <v>396</v>
      </c>
      <c r="F164" s="10"/>
      <c r="G164" s="10"/>
      <c r="H164" s="10"/>
      <c r="I164" s="10"/>
      <c r="J164" s="10"/>
      <c r="K164" s="33"/>
    </row>
    <row r="165" spans="2:11">
      <c r="B165" s="73">
        <v>2200</v>
      </c>
      <c r="C165" s="15">
        <v>800</v>
      </c>
      <c r="D165" s="15">
        <v>300</v>
      </c>
      <c r="E165" s="15" t="s">
        <v>386</v>
      </c>
      <c r="F165" s="10"/>
      <c r="G165" s="10"/>
      <c r="H165" s="10"/>
      <c r="I165" s="10"/>
      <c r="J165" s="10"/>
      <c r="K165" s="33"/>
    </row>
    <row r="166" spans="2:11">
      <c r="B166" s="73">
        <v>2200</v>
      </c>
      <c r="C166" s="15">
        <v>800</v>
      </c>
      <c r="D166" s="15">
        <v>400</v>
      </c>
      <c r="E166" s="15" t="s">
        <v>391</v>
      </c>
      <c r="F166" s="10"/>
      <c r="G166" s="10"/>
      <c r="H166" s="10"/>
      <c r="I166" s="10"/>
      <c r="J166" s="10"/>
      <c r="K166" s="33"/>
    </row>
    <row r="167" spans="2:11">
      <c r="B167" s="73">
        <v>2200</v>
      </c>
      <c r="C167" s="15">
        <v>800</v>
      </c>
      <c r="D167" s="15">
        <v>500</v>
      </c>
      <c r="E167" s="15" t="s">
        <v>397</v>
      </c>
      <c r="F167" s="10"/>
      <c r="G167" s="10"/>
      <c r="H167" s="10"/>
      <c r="I167" s="10"/>
      <c r="J167" s="10"/>
      <c r="K167" s="33"/>
    </row>
    <row r="168" spans="2:11">
      <c r="B168" s="73">
        <v>2200</v>
      </c>
      <c r="C168" s="15">
        <v>600</v>
      </c>
      <c r="D168" s="15">
        <v>600</v>
      </c>
      <c r="E168" s="15" t="s">
        <v>394</v>
      </c>
      <c r="F168" s="10"/>
      <c r="G168" s="10"/>
      <c r="H168" s="10"/>
      <c r="I168" s="10"/>
      <c r="J168" s="10"/>
      <c r="K168" s="33"/>
    </row>
    <row r="169" spans="2:11">
      <c r="B169" s="73">
        <v>2200</v>
      </c>
      <c r="C169" s="15">
        <v>800</v>
      </c>
      <c r="D169" s="15">
        <v>800</v>
      </c>
      <c r="E169" s="15" t="s">
        <v>398</v>
      </c>
      <c r="F169" s="10"/>
      <c r="G169" s="10"/>
      <c r="H169" s="10"/>
      <c r="I169" s="69" t="s">
        <v>500</v>
      </c>
      <c r="J169" s="70" t="s">
        <v>501</v>
      </c>
      <c r="K169" s="74">
        <v>36234</v>
      </c>
    </row>
    <row r="170" spans="2:11">
      <c r="B170" s="73">
        <v>2200</v>
      </c>
      <c r="C170" s="15">
        <v>800</v>
      </c>
      <c r="D170" s="15">
        <v>1000</v>
      </c>
      <c r="E170" s="15" t="s">
        <v>399</v>
      </c>
      <c r="F170" s="10"/>
      <c r="G170" s="10"/>
      <c r="H170" s="10"/>
      <c r="I170" s="10"/>
      <c r="J170" s="10"/>
      <c r="K170" s="33"/>
    </row>
    <row r="171" spans="2:11">
      <c r="B171" s="73">
        <v>2200</v>
      </c>
      <c r="C171" s="15">
        <v>1000</v>
      </c>
      <c r="D171" s="15">
        <v>300</v>
      </c>
      <c r="E171" s="15" t="s">
        <v>387</v>
      </c>
      <c r="F171" s="10"/>
      <c r="G171" s="10"/>
      <c r="H171" s="10"/>
      <c r="I171" s="10"/>
      <c r="J171" s="10"/>
      <c r="K171" s="33"/>
    </row>
    <row r="172" spans="2:11">
      <c r="B172" s="73">
        <v>2200</v>
      </c>
      <c r="C172" s="15">
        <v>1000</v>
      </c>
      <c r="D172" s="15">
        <v>400</v>
      </c>
      <c r="E172" s="15" t="s">
        <v>392</v>
      </c>
      <c r="F172" s="10"/>
      <c r="G172" s="10"/>
      <c r="H172" s="10"/>
      <c r="I172" s="10"/>
      <c r="J172" s="10"/>
      <c r="K172" s="33"/>
    </row>
    <row r="173" spans="2:11">
      <c r="B173" s="73">
        <v>2200</v>
      </c>
      <c r="C173" s="15">
        <v>1000</v>
      </c>
      <c r="D173" s="15">
        <v>500</v>
      </c>
      <c r="E173" s="15" t="s">
        <v>400</v>
      </c>
      <c r="F173" s="10"/>
      <c r="G173" s="10"/>
      <c r="H173" s="10"/>
      <c r="I173" s="10"/>
      <c r="J173" s="10"/>
      <c r="K173" s="33"/>
    </row>
    <row r="174" spans="2:11">
      <c r="B174" s="73">
        <v>2200</v>
      </c>
      <c r="C174" s="15">
        <v>1000</v>
      </c>
      <c r="D174" s="15">
        <v>600</v>
      </c>
      <c r="E174" s="15" t="s">
        <v>396</v>
      </c>
      <c r="F174" s="10"/>
      <c r="G174" s="10"/>
      <c r="H174" s="10"/>
      <c r="I174" s="10"/>
      <c r="J174" s="10"/>
      <c r="K174" s="33"/>
    </row>
    <row r="175" spans="2:11">
      <c r="B175" s="73">
        <v>2200</v>
      </c>
      <c r="C175" s="15">
        <v>1000</v>
      </c>
      <c r="D175" s="15">
        <v>800</v>
      </c>
      <c r="E175" s="15" t="s">
        <v>399</v>
      </c>
      <c r="F175" s="10"/>
      <c r="G175" s="10"/>
      <c r="H175" s="10"/>
      <c r="I175" s="10"/>
      <c r="J175" s="10"/>
      <c r="K175" s="33"/>
    </row>
    <row r="176" spans="2:11" ht="15.75" thickBot="1">
      <c r="B176" s="75">
        <v>2200</v>
      </c>
      <c r="C176" s="76">
        <v>1000</v>
      </c>
      <c r="D176" s="76">
        <v>1000</v>
      </c>
      <c r="E176" s="76" t="s">
        <v>401</v>
      </c>
      <c r="F176" s="77"/>
      <c r="G176" s="77"/>
      <c r="H176" s="77"/>
      <c r="I176" s="77"/>
      <c r="J176" s="77"/>
      <c r="K176" s="35"/>
    </row>
    <row r="177" spans="2:11">
      <c r="B177" s="78"/>
      <c r="C177" s="78"/>
      <c r="D177" s="78"/>
      <c r="E177" s="78"/>
      <c r="F177" s="52"/>
      <c r="G177" s="52"/>
      <c r="H177" s="52"/>
      <c r="I177" s="52"/>
      <c r="J177" s="52"/>
      <c r="K177" s="79"/>
    </row>
    <row r="178" spans="2:11">
      <c r="F178" s="64" t="s">
        <v>402</v>
      </c>
      <c r="G178" s="64" t="s">
        <v>406</v>
      </c>
      <c r="H178" s="65">
        <v>48414</v>
      </c>
      <c r="I178" s="66" t="s">
        <v>427</v>
      </c>
      <c r="J178" s="67" t="s">
        <v>428</v>
      </c>
      <c r="K178" s="68">
        <v>45382</v>
      </c>
    </row>
    <row r="179" spans="2:11">
      <c r="I179" s="17" t="s">
        <v>429</v>
      </c>
      <c r="J179" s="18" t="s">
        <v>430</v>
      </c>
      <c r="K179" s="19">
        <v>48703</v>
      </c>
    </row>
    <row r="180" spans="2:11">
      <c r="I180" s="17" t="s">
        <v>431</v>
      </c>
      <c r="J180" s="18" t="s">
        <v>432</v>
      </c>
      <c r="K180" s="19">
        <v>49525</v>
      </c>
    </row>
    <row r="181" spans="2:11">
      <c r="F181" s="2" t="s">
        <v>402</v>
      </c>
      <c r="G181" s="2" t="s">
        <v>409</v>
      </c>
      <c r="H181" s="3">
        <v>48396</v>
      </c>
    </row>
    <row r="182" spans="2:11" ht="30">
      <c r="F182" s="2" t="s">
        <v>402</v>
      </c>
      <c r="G182" s="2" t="s">
        <v>410</v>
      </c>
      <c r="H182" s="3">
        <v>51798</v>
      </c>
    </row>
    <row r="184" spans="2:11">
      <c r="F184" s="2" t="s">
        <v>402</v>
      </c>
      <c r="G184" s="2" t="s">
        <v>412</v>
      </c>
      <c r="H184" s="3">
        <v>34001</v>
      </c>
      <c r="I184" s="17" t="s">
        <v>439</v>
      </c>
      <c r="J184" s="18" t="s">
        <v>440</v>
      </c>
      <c r="K184" s="19">
        <v>49892</v>
      </c>
    </row>
    <row r="185" spans="2:11">
      <c r="F185" s="2" t="s">
        <v>402</v>
      </c>
      <c r="G185" s="2" t="s">
        <v>413</v>
      </c>
      <c r="H185" s="3">
        <v>42122</v>
      </c>
      <c r="I185" s="17" t="s">
        <v>441</v>
      </c>
      <c r="J185" s="18" t="s">
        <v>442</v>
      </c>
      <c r="K185" s="19">
        <v>50663</v>
      </c>
    </row>
    <row r="186" spans="2:11" ht="30">
      <c r="F186" s="2" t="s">
        <v>402</v>
      </c>
      <c r="G186" s="2" t="s">
        <v>414</v>
      </c>
      <c r="H186" s="3">
        <v>40626</v>
      </c>
      <c r="I186" s="17" t="s">
        <v>443</v>
      </c>
      <c r="J186" s="18" t="s">
        <v>444</v>
      </c>
      <c r="K186" s="19">
        <v>56040</v>
      </c>
    </row>
    <row r="187" spans="2:11" ht="30">
      <c r="F187" s="2" t="s">
        <v>402</v>
      </c>
      <c r="G187" s="2" t="s">
        <v>415</v>
      </c>
      <c r="H187" s="3">
        <v>46526</v>
      </c>
      <c r="I187" s="17" t="s">
        <v>445</v>
      </c>
      <c r="J187" s="18" t="s">
        <v>446</v>
      </c>
      <c r="K187" s="19">
        <v>59113</v>
      </c>
    </row>
    <row r="188" spans="2:11" ht="25.5">
      <c r="F188" s="2" t="s">
        <v>402</v>
      </c>
      <c r="G188" s="2" t="s">
        <v>416</v>
      </c>
      <c r="H188" s="3">
        <v>41670</v>
      </c>
      <c r="I188" s="20"/>
      <c r="J188" s="20" t="s">
        <v>447</v>
      </c>
      <c r="K188" s="19"/>
    </row>
    <row r="189" spans="2:11">
      <c r="F189" s="2" t="s">
        <v>402</v>
      </c>
      <c r="G189" s="2" t="s">
        <v>417</v>
      </c>
      <c r="H189" s="3">
        <v>49791</v>
      </c>
      <c r="I189" s="17" t="s">
        <v>472</v>
      </c>
      <c r="J189" s="18" t="s">
        <v>473</v>
      </c>
      <c r="K189" s="19">
        <v>30466</v>
      </c>
    </row>
    <row r="190" spans="2:11" ht="30">
      <c r="F190" s="2" t="s">
        <v>402</v>
      </c>
      <c r="G190" s="2" t="s">
        <v>418</v>
      </c>
      <c r="H190" s="3">
        <v>54195</v>
      </c>
    </row>
    <row r="191" spans="2:11" ht="30">
      <c r="F191" s="2" t="s">
        <v>402</v>
      </c>
      <c r="G191" s="2" t="s">
        <v>419</v>
      </c>
      <c r="H191" s="3">
        <v>61591</v>
      </c>
    </row>
    <row r="192" spans="2:11">
      <c r="F192" s="2" t="s">
        <v>402</v>
      </c>
      <c r="G192" s="2" t="s">
        <v>420</v>
      </c>
      <c r="H192" s="3">
        <v>40644</v>
      </c>
    </row>
    <row r="194" spans="6:8" ht="30">
      <c r="F194" s="2" t="s">
        <v>402</v>
      </c>
      <c r="G194" s="2" t="s">
        <v>422</v>
      </c>
      <c r="H194" s="3">
        <v>44478</v>
      </c>
    </row>
    <row r="210" spans="9:11">
      <c r="I210" s="17" t="s">
        <v>490</v>
      </c>
      <c r="J210" s="18" t="s">
        <v>491</v>
      </c>
      <c r="K210" s="19">
        <v>30836</v>
      </c>
    </row>
    <row r="214" spans="9:11">
      <c r="I214" s="17" t="s">
        <v>498</v>
      </c>
      <c r="J214" s="18" t="s">
        <v>499</v>
      </c>
      <c r="K214" s="19">
        <v>35067</v>
      </c>
    </row>
  </sheetData>
  <mergeCells count="3">
    <mergeCell ref="F1:H1"/>
    <mergeCell ref="I1:K1"/>
    <mergeCell ref="B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48"/>
  <sheetViews>
    <sheetView topLeftCell="A19" zoomScale="85" zoomScaleNormal="85" workbookViewId="0">
      <selection activeCell="P29" sqref="P29"/>
    </sheetView>
  </sheetViews>
  <sheetFormatPr defaultRowHeight="15"/>
  <cols>
    <col min="8" max="8" width="18.5703125" customWidth="1"/>
    <col min="10" max="10" width="13.5703125" customWidth="1"/>
    <col min="11" max="11" width="17" customWidth="1"/>
    <col min="12" max="12" width="19.85546875" customWidth="1"/>
    <col min="13" max="13" width="37.42578125" customWidth="1"/>
    <col min="14" max="14" width="11.7109375" customWidth="1"/>
    <col min="15" max="15" width="15.28515625" customWidth="1"/>
    <col min="16" max="16" width="41.7109375" customWidth="1"/>
  </cols>
  <sheetData>
    <row r="1" spans="2:18">
      <c r="B1" s="229" t="s">
        <v>698</v>
      </c>
      <c r="C1" s="227"/>
      <c r="D1" s="227"/>
      <c r="E1" s="227"/>
      <c r="F1" s="227"/>
      <c r="G1" s="227"/>
      <c r="H1" s="227"/>
      <c r="I1" s="227"/>
      <c r="J1" s="227" t="s">
        <v>53</v>
      </c>
      <c r="K1" s="227"/>
      <c r="L1" s="227" t="s">
        <v>87</v>
      </c>
      <c r="M1" s="227"/>
      <c r="N1" s="228"/>
      <c r="O1" s="230" t="s">
        <v>734</v>
      </c>
      <c r="P1" s="231"/>
      <c r="Q1" s="231"/>
      <c r="R1">
        <v>72.569999999999993</v>
      </c>
    </row>
    <row r="2" spans="2:18" ht="24">
      <c r="B2" s="81" t="s">
        <v>46</v>
      </c>
      <c r="C2" s="24" t="s">
        <v>47</v>
      </c>
      <c r="D2" s="24" t="s">
        <v>48</v>
      </c>
      <c r="E2" s="24" t="s">
        <v>49</v>
      </c>
      <c r="F2" s="24" t="s">
        <v>50</v>
      </c>
      <c r="G2" s="24" t="s">
        <v>502</v>
      </c>
      <c r="H2" s="24" t="s">
        <v>503</v>
      </c>
      <c r="I2" s="24" t="s">
        <v>51</v>
      </c>
      <c r="J2" s="10"/>
      <c r="K2" s="10"/>
      <c r="L2" s="10"/>
      <c r="M2" s="10"/>
      <c r="N2" s="33"/>
      <c r="O2" s="82">
        <v>1545500</v>
      </c>
      <c r="P2" s="83" t="s">
        <v>755</v>
      </c>
      <c r="Q2" s="84">
        <v>43.089999999999996</v>
      </c>
      <c r="R2">
        <f>Q2*$R$1</f>
        <v>3127.0412999999994</v>
      </c>
    </row>
    <row r="3" spans="2:18">
      <c r="B3" s="38">
        <v>230</v>
      </c>
      <c r="C3" s="25">
        <v>150</v>
      </c>
      <c r="D3" s="25">
        <v>135</v>
      </c>
      <c r="E3" s="25">
        <v>153</v>
      </c>
      <c r="F3" s="25">
        <v>185</v>
      </c>
      <c r="G3" s="25" t="s">
        <v>0</v>
      </c>
      <c r="H3" s="25" t="s">
        <v>504</v>
      </c>
      <c r="I3" s="25" t="s">
        <v>505</v>
      </c>
      <c r="J3" s="10"/>
      <c r="K3" s="10"/>
      <c r="L3" s="69" t="s">
        <v>113</v>
      </c>
      <c r="M3" s="70" t="s">
        <v>114</v>
      </c>
      <c r="N3" s="74">
        <v>2060</v>
      </c>
      <c r="O3" s="82">
        <v>1546500</v>
      </c>
      <c r="P3" s="83" t="s">
        <v>756</v>
      </c>
      <c r="Q3" s="84">
        <v>40.379999999999995</v>
      </c>
      <c r="R3">
        <f t="shared" ref="R3:R17" si="0">Q3*$R$1</f>
        <v>2930.3765999999996</v>
      </c>
    </row>
    <row r="4" spans="2:18">
      <c r="B4" s="38">
        <v>260</v>
      </c>
      <c r="C4" s="25">
        <v>260</v>
      </c>
      <c r="D4" s="25">
        <v>150</v>
      </c>
      <c r="E4" s="25">
        <v>183</v>
      </c>
      <c r="F4" s="25">
        <v>295</v>
      </c>
      <c r="G4" s="25" t="s">
        <v>0</v>
      </c>
      <c r="H4" s="25" t="s">
        <v>506</v>
      </c>
      <c r="I4" s="25" t="s">
        <v>507</v>
      </c>
      <c r="J4" s="11" t="s">
        <v>530</v>
      </c>
      <c r="K4" s="12">
        <v>2381</v>
      </c>
      <c r="L4" s="69" t="s">
        <v>117</v>
      </c>
      <c r="M4" s="70" t="s">
        <v>118</v>
      </c>
      <c r="N4" s="74">
        <v>2191</v>
      </c>
      <c r="O4" s="82">
        <v>1547500</v>
      </c>
      <c r="P4" s="83" t="s">
        <v>757</v>
      </c>
      <c r="Q4" s="84">
        <v>52.58</v>
      </c>
      <c r="R4">
        <f t="shared" si="0"/>
        <v>3815.7305999999994</v>
      </c>
    </row>
    <row r="5" spans="2:18">
      <c r="B5" s="38">
        <v>310</v>
      </c>
      <c r="C5" s="25">
        <v>310</v>
      </c>
      <c r="D5" s="25">
        <v>200</v>
      </c>
      <c r="E5" s="25">
        <v>233</v>
      </c>
      <c r="F5" s="25">
        <v>345</v>
      </c>
      <c r="G5" s="25" t="s">
        <v>0</v>
      </c>
      <c r="H5" s="25" t="s">
        <v>508</v>
      </c>
      <c r="I5" s="25" t="s">
        <v>509</v>
      </c>
      <c r="J5" s="11" t="s">
        <v>54</v>
      </c>
      <c r="K5" s="12">
        <v>3433</v>
      </c>
      <c r="L5" s="69" t="s">
        <v>147</v>
      </c>
      <c r="M5" s="70" t="s">
        <v>148</v>
      </c>
      <c r="N5" s="74">
        <v>2977</v>
      </c>
      <c r="O5" s="82">
        <v>1548500</v>
      </c>
      <c r="P5" s="83" t="s">
        <v>758</v>
      </c>
      <c r="Q5" s="84">
        <v>43.059999999999995</v>
      </c>
      <c r="R5">
        <f t="shared" si="0"/>
        <v>3124.8641999999995</v>
      </c>
    </row>
    <row r="6" spans="2:18">
      <c r="B6" s="38">
        <v>480</v>
      </c>
      <c r="C6" s="25">
        <v>480</v>
      </c>
      <c r="D6" s="25">
        <v>200</v>
      </c>
      <c r="E6" s="25">
        <v>403</v>
      </c>
      <c r="F6" s="25">
        <v>515</v>
      </c>
      <c r="G6" s="25" t="s">
        <v>0</v>
      </c>
      <c r="H6" s="25" t="s">
        <v>510</v>
      </c>
      <c r="I6" s="25" t="s">
        <v>511</v>
      </c>
      <c r="J6" s="11" t="s">
        <v>63</v>
      </c>
      <c r="K6" s="12">
        <v>5625</v>
      </c>
      <c r="L6" s="69" t="s">
        <v>227</v>
      </c>
      <c r="M6" s="70" t="s">
        <v>228</v>
      </c>
      <c r="N6" s="74">
        <v>4829</v>
      </c>
      <c r="O6" s="82">
        <v>1549500</v>
      </c>
      <c r="P6" s="83" t="s">
        <v>759</v>
      </c>
      <c r="Q6" s="84">
        <v>37.76</v>
      </c>
      <c r="R6">
        <f t="shared" si="0"/>
        <v>2740.2431999999994</v>
      </c>
    </row>
    <row r="7" spans="2:18">
      <c r="B7" s="3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33"/>
      <c r="O7" s="82">
        <v>1550500</v>
      </c>
      <c r="P7" s="83" t="s">
        <v>760</v>
      </c>
      <c r="Q7" s="84">
        <v>51.14</v>
      </c>
      <c r="R7">
        <f t="shared" si="0"/>
        <v>3711.2297999999996</v>
      </c>
    </row>
    <row r="8" spans="2:18">
      <c r="B8" s="38">
        <v>230</v>
      </c>
      <c r="C8" s="25">
        <v>150</v>
      </c>
      <c r="D8" s="25">
        <v>135</v>
      </c>
      <c r="E8" s="25">
        <v>153</v>
      </c>
      <c r="F8" s="25">
        <v>185</v>
      </c>
      <c r="G8" s="25" t="s">
        <v>0</v>
      </c>
      <c r="H8" s="25" t="s">
        <v>504</v>
      </c>
      <c r="I8" s="25" t="s">
        <v>512</v>
      </c>
      <c r="J8" s="10"/>
      <c r="K8" s="10"/>
      <c r="L8" s="10"/>
      <c r="M8" s="10"/>
      <c r="N8" s="33"/>
      <c r="O8" s="82">
        <v>1551500</v>
      </c>
      <c r="P8" s="83" t="s">
        <v>761</v>
      </c>
      <c r="Q8" s="84">
        <v>38.83</v>
      </c>
      <c r="R8">
        <f t="shared" si="0"/>
        <v>2817.8930999999998</v>
      </c>
    </row>
    <row r="9" spans="2:18" ht="24">
      <c r="B9" s="38">
        <v>260</v>
      </c>
      <c r="C9" s="25">
        <v>260</v>
      </c>
      <c r="D9" s="25">
        <v>150</v>
      </c>
      <c r="E9" s="25">
        <v>183</v>
      </c>
      <c r="F9" s="25">
        <v>295</v>
      </c>
      <c r="G9" s="25" t="s">
        <v>0</v>
      </c>
      <c r="H9" s="25" t="s">
        <v>506</v>
      </c>
      <c r="I9" s="25" t="s">
        <v>513</v>
      </c>
      <c r="J9" s="11" t="s">
        <v>569</v>
      </c>
      <c r="K9" s="12">
        <v>10847</v>
      </c>
      <c r="L9" s="71" t="s">
        <v>672</v>
      </c>
      <c r="M9" s="29" t="s">
        <v>673</v>
      </c>
      <c r="N9" s="37">
        <v>8690</v>
      </c>
      <c r="O9" s="82">
        <v>1552500</v>
      </c>
      <c r="P9" s="83" t="s">
        <v>762</v>
      </c>
      <c r="Q9" s="84">
        <v>47.7</v>
      </c>
      <c r="R9">
        <f t="shared" si="0"/>
        <v>3461.5889999999999</v>
      </c>
    </row>
    <row r="10" spans="2:18" ht="24">
      <c r="B10" s="38">
        <v>310</v>
      </c>
      <c r="C10" s="25">
        <v>310</v>
      </c>
      <c r="D10" s="25">
        <v>200</v>
      </c>
      <c r="E10" s="25">
        <v>233</v>
      </c>
      <c r="F10" s="25">
        <v>345</v>
      </c>
      <c r="G10" s="25" t="s">
        <v>0</v>
      </c>
      <c r="H10" s="25" t="s">
        <v>508</v>
      </c>
      <c r="I10" s="25" t="s">
        <v>514</v>
      </c>
      <c r="J10" s="11" t="s">
        <v>570</v>
      </c>
      <c r="K10" s="12">
        <v>12197</v>
      </c>
      <c r="L10" s="71" t="s">
        <v>674</v>
      </c>
      <c r="M10" s="29" t="s">
        <v>675</v>
      </c>
      <c r="N10" s="37">
        <v>9790</v>
      </c>
      <c r="O10" s="82">
        <v>1553500</v>
      </c>
      <c r="P10" s="83" t="s">
        <v>763</v>
      </c>
      <c r="Q10" s="84">
        <v>39.96</v>
      </c>
      <c r="R10">
        <f t="shared" si="0"/>
        <v>2899.8971999999999</v>
      </c>
    </row>
    <row r="11" spans="2:18" ht="24">
      <c r="B11" s="38">
        <v>480</v>
      </c>
      <c r="C11" s="25">
        <v>480</v>
      </c>
      <c r="D11" s="25">
        <v>200</v>
      </c>
      <c r="E11" s="25">
        <v>403</v>
      </c>
      <c r="F11" s="25">
        <v>515</v>
      </c>
      <c r="G11" s="25" t="s">
        <v>0</v>
      </c>
      <c r="H11" s="25" t="s">
        <v>510</v>
      </c>
      <c r="I11" s="25" t="s">
        <v>515</v>
      </c>
      <c r="J11" s="11" t="s">
        <v>574</v>
      </c>
      <c r="K11" s="12">
        <v>19296</v>
      </c>
      <c r="L11" s="71" t="s">
        <v>686</v>
      </c>
      <c r="M11" s="29" t="s">
        <v>687</v>
      </c>
      <c r="N11" s="37">
        <v>15510</v>
      </c>
      <c r="O11" s="82">
        <v>1554500</v>
      </c>
      <c r="P11" s="83" t="s">
        <v>764</v>
      </c>
      <c r="Q11" s="84">
        <v>42.96</v>
      </c>
      <c r="R11">
        <f t="shared" si="0"/>
        <v>3117.6071999999999</v>
      </c>
    </row>
    <row r="12" spans="2:18">
      <c r="B12" s="3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3"/>
      <c r="O12" s="82">
        <v>1555500</v>
      </c>
      <c r="P12" s="83" t="s">
        <v>765</v>
      </c>
      <c r="Q12" s="84">
        <v>47.83</v>
      </c>
      <c r="R12">
        <f t="shared" si="0"/>
        <v>3471.0230999999994</v>
      </c>
    </row>
    <row r="13" spans="2:18">
      <c r="B13" s="38">
        <v>120</v>
      </c>
      <c r="C13" s="25">
        <v>120</v>
      </c>
      <c r="D13" s="25">
        <v>80</v>
      </c>
      <c r="E13" s="25" t="s">
        <v>516</v>
      </c>
      <c r="F13" s="25">
        <v>155</v>
      </c>
      <c r="G13" s="25" t="s">
        <v>0</v>
      </c>
      <c r="H13" s="25" t="s">
        <v>517</v>
      </c>
      <c r="I13" s="25" t="s">
        <v>534</v>
      </c>
      <c r="J13" s="11" t="s">
        <v>544</v>
      </c>
      <c r="K13" s="12">
        <v>1140</v>
      </c>
      <c r="L13" s="71" t="s">
        <v>590</v>
      </c>
      <c r="M13" s="29" t="s">
        <v>591</v>
      </c>
      <c r="N13" s="37">
        <v>924</v>
      </c>
      <c r="O13" s="82">
        <v>1556500</v>
      </c>
      <c r="P13" s="83" t="s">
        <v>766</v>
      </c>
      <c r="Q13" s="84">
        <v>59.21</v>
      </c>
      <c r="R13">
        <f t="shared" si="0"/>
        <v>4296.8696999999993</v>
      </c>
    </row>
    <row r="14" spans="2:18" ht="24">
      <c r="B14" s="38">
        <v>150</v>
      </c>
      <c r="C14" s="25">
        <v>150</v>
      </c>
      <c r="D14" s="25">
        <v>90</v>
      </c>
      <c r="E14" s="25">
        <v>73</v>
      </c>
      <c r="F14" s="25">
        <v>185</v>
      </c>
      <c r="G14" s="25" t="s">
        <v>0</v>
      </c>
      <c r="H14" s="25" t="s">
        <v>518</v>
      </c>
      <c r="I14" s="25" t="s">
        <v>535</v>
      </c>
      <c r="J14" s="11" t="s">
        <v>546</v>
      </c>
      <c r="K14" s="12">
        <v>1385</v>
      </c>
      <c r="L14" s="71" t="s">
        <v>596</v>
      </c>
      <c r="M14" s="29" t="s">
        <v>597</v>
      </c>
      <c r="N14" s="37">
        <v>1447</v>
      </c>
      <c r="O14" s="82">
        <v>1557500</v>
      </c>
      <c r="P14" s="83" t="s">
        <v>767</v>
      </c>
      <c r="Q14" s="84">
        <v>59.6</v>
      </c>
      <c r="R14">
        <f t="shared" si="0"/>
        <v>4325.1719999999996</v>
      </c>
    </row>
    <row r="15" spans="2:18" ht="24">
      <c r="B15" s="38">
        <v>190</v>
      </c>
      <c r="C15" s="25">
        <v>190</v>
      </c>
      <c r="D15" s="25">
        <v>100</v>
      </c>
      <c r="E15" s="25">
        <v>113</v>
      </c>
      <c r="F15" s="25">
        <v>225</v>
      </c>
      <c r="G15" s="25" t="s">
        <v>0</v>
      </c>
      <c r="H15" s="25" t="s">
        <v>519</v>
      </c>
      <c r="I15" s="25" t="s">
        <v>536</v>
      </c>
      <c r="J15" s="11" t="s">
        <v>552</v>
      </c>
      <c r="K15" s="12">
        <v>1603</v>
      </c>
      <c r="L15" s="71" t="s">
        <v>612</v>
      </c>
      <c r="M15" s="29" t="s">
        <v>613</v>
      </c>
      <c r="N15" s="37">
        <v>1703</v>
      </c>
      <c r="O15" s="82">
        <v>1577500</v>
      </c>
      <c r="P15" s="83" t="s">
        <v>768</v>
      </c>
      <c r="Q15" s="84">
        <v>63.4</v>
      </c>
      <c r="R15">
        <f t="shared" si="0"/>
        <v>4600.9379999999992</v>
      </c>
    </row>
    <row r="16" spans="2:18">
      <c r="B16" s="38">
        <v>230</v>
      </c>
      <c r="C16" s="25">
        <v>150</v>
      </c>
      <c r="D16" s="25">
        <v>135</v>
      </c>
      <c r="E16" s="25">
        <v>153</v>
      </c>
      <c r="F16" s="25">
        <v>185</v>
      </c>
      <c r="G16" s="25" t="s">
        <v>0</v>
      </c>
      <c r="H16" s="25" t="s">
        <v>504</v>
      </c>
      <c r="I16" s="25" t="s">
        <v>537</v>
      </c>
      <c r="J16" s="10"/>
      <c r="K16" s="10"/>
      <c r="L16" s="10"/>
      <c r="M16" s="10"/>
      <c r="N16" s="33"/>
      <c r="O16" s="82">
        <v>1578500</v>
      </c>
      <c r="P16" s="83" t="s">
        <v>769</v>
      </c>
      <c r="Q16" s="84">
        <v>80.22</v>
      </c>
      <c r="R16">
        <f t="shared" si="0"/>
        <v>5821.5653999999995</v>
      </c>
    </row>
    <row r="17" spans="2:18">
      <c r="B17" s="38">
        <v>250</v>
      </c>
      <c r="C17" s="25">
        <v>250</v>
      </c>
      <c r="D17" s="25">
        <v>120</v>
      </c>
      <c r="E17" s="25">
        <v>173</v>
      </c>
      <c r="F17" s="25">
        <v>285</v>
      </c>
      <c r="G17" s="25" t="s">
        <v>0</v>
      </c>
      <c r="H17" s="25" t="s">
        <v>520</v>
      </c>
      <c r="I17" s="25" t="s">
        <v>538</v>
      </c>
      <c r="J17" s="10"/>
      <c r="K17" s="10"/>
      <c r="L17" s="10"/>
      <c r="M17" s="10"/>
      <c r="N17" s="33"/>
      <c r="O17" s="82">
        <v>1579500</v>
      </c>
      <c r="P17" s="83" t="s">
        <v>770</v>
      </c>
      <c r="Q17" s="84">
        <v>109.15</v>
      </c>
      <c r="R17">
        <f t="shared" si="0"/>
        <v>7921.0154999999995</v>
      </c>
    </row>
    <row r="18" spans="2:18">
      <c r="B18" s="38">
        <v>260</v>
      </c>
      <c r="C18" s="25">
        <v>260</v>
      </c>
      <c r="D18" s="25">
        <v>150</v>
      </c>
      <c r="E18" s="25">
        <v>183</v>
      </c>
      <c r="F18" s="25">
        <v>295</v>
      </c>
      <c r="G18" s="25" t="s">
        <v>0</v>
      </c>
      <c r="H18" s="25" t="s">
        <v>506</v>
      </c>
      <c r="I18" s="25" t="s">
        <v>539</v>
      </c>
      <c r="J18" s="10"/>
      <c r="K18" s="10"/>
      <c r="L18" s="10"/>
      <c r="M18" s="10"/>
      <c r="N18" s="33"/>
    </row>
    <row r="19" spans="2:18" ht="24">
      <c r="B19" s="38">
        <v>310</v>
      </c>
      <c r="C19" s="25">
        <v>310</v>
      </c>
      <c r="D19" s="25">
        <v>200</v>
      </c>
      <c r="E19" s="25">
        <v>233</v>
      </c>
      <c r="F19" s="25">
        <v>345</v>
      </c>
      <c r="G19" s="25" t="s">
        <v>0</v>
      </c>
      <c r="H19" s="25" t="s">
        <v>508</v>
      </c>
      <c r="I19" s="25" t="s">
        <v>540</v>
      </c>
      <c r="J19" s="11" t="s">
        <v>559</v>
      </c>
      <c r="K19" s="12">
        <v>2817</v>
      </c>
      <c r="L19" s="69" t="s">
        <v>632</v>
      </c>
      <c r="M19" s="70" t="s">
        <v>633</v>
      </c>
      <c r="N19" s="74">
        <v>2310</v>
      </c>
    </row>
    <row r="20" spans="2:18">
      <c r="B20" s="38">
        <v>480</v>
      </c>
      <c r="C20" s="25">
        <v>480</v>
      </c>
      <c r="D20" s="25">
        <v>200</v>
      </c>
      <c r="E20" s="25">
        <v>403</v>
      </c>
      <c r="F20" s="25">
        <v>515</v>
      </c>
      <c r="G20" s="25" t="s">
        <v>0</v>
      </c>
      <c r="H20" s="25" t="s">
        <v>510</v>
      </c>
      <c r="I20" s="25" t="s">
        <v>541</v>
      </c>
      <c r="J20" s="11" t="s">
        <v>564</v>
      </c>
      <c r="K20" s="12">
        <v>4277</v>
      </c>
      <c r="L20" s="10"/>
      <c r="M20" s="10"/>
      <c r="N20" s="33"/>
    </row>
    <row r="21" spans="2:18">
      <c r="B21" s="3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33"/>
    </row>
    <row r="22" spans="2:18">
      <c r="B22" s="38">
        <v>120</v>
      </c>
      <c r="C22" s="25">
        <v>120</v>
      </c>
      <c r="D22" s="25">
        <v>80</v>
      </c>
      <c r="E22" s="25" t="s">
        <v>516</v>
      </c>
      <c r="F22" s="25">
        <v>155</v>
      </c>
      <c r="G22" s="25" t="s">
        <v>0</v>
      </c>
      <c r="H22" s="25" t="s">
        <v>517</v>
      </c>
      <c r="I22" s="25" t="s">
        <v>521</v>
      </c>
      <c r="J22" s="11" t="s">
        <v>579</v>
      </c>
      <c r="K22" s="12">
        <v>4813</v>
      </c>
      <c r="L22" s="10"/>
      <c r="M22" s="10"/>
      <c r="N22" s="33"/>
    </row>
    <row r="23" spans="2:18" ht="24">
      <c r="B23" s="38">
        <v>150</v>
      </c>
      <c r="C23" s="25">
        <v>150</v>
      </c>
      <c r="D23" s="25">
        <v>90</v>
      </c>
      <c r="E23" s="25">
        <v>73</v>
      </c>
      <c r="F23" s="25">
        <v>185</v>
      </c>
      <c r="G23" s="25" t="s">
        <v>0</v>
      </c>
      <c r="H23" s="25" t="s">
        <v>518</v>
      </c>
      <c r="I23" s="25" t="s">
        <v>522</v>
      </c>
      <c r="J23" s="11" t="s">
        <v>580</v>
      </c>
      <c r="K23" s="12">
        <v>5438</v>
      </c>
      <c r="L23" s="69" t="s">
        <v>653</v>
      </c>
      <c r="M23" s="70" t="s">
        <v>654</v>
      </c>
      <c r="N23" s="74">
        <v>4565</v>
      </c>
    </row>
    <row r="24" spans="2:18" ht="24">
      <c r="B24" s="38">
        <v>190</v>
      </c>
      <c r="C24" s="25">
        <v>190</v>
      </c>
      <c r="D24" s="25">
        <v>100</v>
      </c>
      <c r="E24" s="25">
        <v>113</v>
      </c>
      <c r="F24" s="25">
        <v>225</v>
      </c>
      <c r="G24" s="25" t="s">
        <v>0</v>
      </c>
      <c r="H24" s="25" t="s">
        <v>519</v>
      </c>
      <c r="I24" s="25" t="s">
        <v>523</v>
      </c>
      <c r="J24" s="11" t="s">
        <v>582</v>
      </c>
      <c r="K24" s="12">
        <v>6475</v>
      </c>
      <c r="L24" s="69" t="s">
        <v>657</v>
      </c>
      <c r="M24" s="70" t="s">
        <v>658</v>
      </c>
      <c r="N24" s="74">
        <v>5555</v>
      </c>
    </row>
    <row r="25" spans="2:18">
      <c r="B25" s="38">
        <v>230</v>
      </c>
      <c r="C25" s="25">
        <v>150</v>
      </c>
      <c r="D25" s="25">
        <v>135</v>
      </c>
      <c r="E25" s="25">
        <v>153</v>
      </c>
      <c r="F25" s="25">
        <v>185</v>
      </c>
      <c r="G25" s="25" t="s">
        <v>0</v>
      </c>
      <c r="H25" s="25" t="s">
        <v>504</v>
      </c>
      <c r="I25" s="25" t="s">
        <v>524</v>
      </c>
      <c r="J25" s="10"/>
      <c r="K25" s="10"/>
      <c r="L25" s="10"/>
      <c r="M25" s="10"/>
      <c r="N25" s="33"/>
    </row>
    <row r="26" spans="2:18">
      <c r="B26" s="38">
        <v>250</v>
      </c>
      <c r="C26" s="25">
        <v>250</v>
      </c>
      <c r="D26" s="25">
        <v>120</v>
      </c>
      <c r="E26" s="25">
        <v>173</v>
      </c>
      <c r="F26" s="25">
        <v>285</v>
      </c>
      <c r="G26" s="25" t="s">
        <v>0</v>
      </c>
      <c r="H26" s="25" t="s">
        <v>520</v>
      </c>
      <c r="I26" s="25" t="s">
        <v>525</v>
      </c>
      <c r="J26" s="10"/>
      <c r="K26" s="10"/>
      <c r="L26" s="10"/>
      <c r="M26" s="10"/>
      <c r="N26" s="33"/>
    </row>
    <row r="27" spans="2:18">
      <c r="B27" s="38">
        <v>260</v>
      </c>
      <c r="C27" s="25">
        <v>260</v>
      </c>
      <c r="D27" s="25">
        <v>150</v>
      </c>
      <c r="E27" s="25">
        <v>183</v>
      </c>
      <c r="F27" s="25">
        <v>295</v>
      </c>
      <c r="G27" s="25" t="s">
        <v>0</v>
      </c>
      <c r="H27" s="25" t="s">
        <v>506</v>
      </c>
      <c r="I27" s="25" t="s">
        <v>526</v>
      </c>
      <c r="J27" s="10"/>
      <c r="K27" s="10"/>
      <c r="L27" s="10"/>
      <c r="M27" s="10"/>
      <c r="N27" s="33"/>
    </row>
    <row r="28" spans="2:18">
      <c r="B28" s="38">
        <v>310</v>
      </c>
      <c r="C28" s="25">
        <v>310</v>
      </c>
      <c r="D28" s="25">
        <v>200</v>
      </c>
      <c r="E28" s="25">
        <v>233</v>
      </c>
      <c r="F28" s="25">
        <v>345</v>
      </c>
      <c r="G28" s="25" t="s">
        <v>0</v>
      </c>
      <c r="H28" s="25" t="s">
        <v>508</v>
      </c>
      <c r="I28" s="25" t="s">
        <v>527</v>
      </c>
      <c r="J28" s="11" t="s">
        <v>584</v>
      </c>
      <c r="K28" s="12">
        <v>9508</v>
      </c>
      <c r="L28" s="10"/>
      <c r="M28" s="10"/>
      <c r="N28" s="33"/>
    </row>
    <row r="29" spans="2:18" ht="15.75" thickBot="1">
      <c r="B29" s="40">
        <v>480</v>
      </c>
      <c r="C29" s="41">
        <v>480</v>
      </c>
      <c r="D29" s="41">
        <v>200</v>
      </c>
      <c r="E29" s="41">
        <v>403</v>
      </c>
      <c r="F29" s="41">
        <v>515</v>
      </c>
      <c r="G29" s="41" t="s">
        <v>0</v>
      </c>
      <c r="H29" s="41" t="s">
        <v>510</v>
      </c>
      <c r="I29" s="41" t="s">
        <v>528</v>
      </c>
      <c r="J29" s="77"/>
      <c r="K29" s="77"/>
      <c r="L29" s="77"/>
      <c r="M29" s="77"/>
      <c r="N29" s="35"/>
    </row>
    <row r="30" spans="2:18">
      <c r="B30" s="80"/>
      <c r="C30" s="80"/>
      <c r="D30" s="80"/>
      <c r="E30" s="80"/>
      <c r="F30" s="80"/>
      <c r="G30" s="80"/>
      <c r="H30" s="80"/>
      <c r="I30" s="80"/>
    </row>
    <row r="31" spans="2:18">
      <c r="J31" s="2" t="s">
        <v>529</v>
      </c>
      <c r="K31" s="3">
        <v>2445</v>
      </c>
      <c r="L31" s="17" t="s">
        <v>115</v>
      </c>
      <c r="M31" s="18" t="s">
        <v>116</v>
      </c>
      <c r="N31" s="19">
        <v>2158</v>
      </c>
    </row>
    <row r="33" spans="10:14">
      <c r="J33" s="2" t="s">
        <v>531</v>
      </c>
      <c r="K33" s="3">
        <v>2596</v>
      </c>
      <c r="L33" s="17" t="s">
        <v>119</v>
      </c>
      <c r="M33" s="18" t="s">
        <v>120</v>
      </c>
      <c r="N33" s="19">
        <v>2202</v>
      </c>
    </row>
    <row r="34" spans="10:14">
      <c r="J34" s="2" t="s">
        <v>52</v>
      </c>
      <c r="K34" s="3">
        <v>3055</v>
      </c>
      <c r="L34" s="17" t="s">
        <v>121</v>
      </c>
      <c r="M34" s="18" t="s">
        <v>122</v>
      </c>
      <c r="N34" s="19">
        <v>2269</v>
      </c>
    </row>
    <row r="35" spans="10:14">
      <c r="J35" s="2" t="s">
        <v>532</v>
      </c>
      <c r="K35" s="3">
        <v>2892</v>
      </c>
      <c r="L35" s="17" t="s">
        <v>123</v>
      </c>
      <c r="M35" s="18" t="s">
        <v>124</v>
      </c>
      <c r="N35" s="19">
        <v>2315</v>
      </c>
    </row>
    <row r="36" spans="10:14">
      <c r="L36" s="17" t="s">
        <v>125</v>
      </c>
      <c r="M36" s="18" t="s">
        <v>126</v>
      </c>
      <c r="N36" s="19">
        <v>2379</v>
      </c>
    </row>
    <row r="37" spans="10:14">
      <c r="J37" s="2" t="s">
        <v>55</v>
      </c>
      <c r="K37" s="3">
        <v>3487</v>
      </c>
      <c r="L37" s="17" t="s">
        <v>127</v>
      </c>
      <c r="M37" s="18" t="s">
        <v>128</v>
      </c>
      <c r="N37" s="19">
        <v>2367</v>
      </c>
    </row>
    <row r="38" spans="10:14">
      <c r="J38" s="2" t="s">
        <v>533</v>
      </c>
      <c r="K38" s="3">
        <v>3588</v>
      </c>
      <c r="L38" s="17" t="s">
        <v>129</v>
      </c>
      <c r="M38" s="18" t="s">
        <v>130</v>
      </c>
      <c r="N38" s="19">
        <v>2423</v>
      </c>
    </row>
    <row r="39" spans="10:14">
      <c r="J39" s="2" t="s">
        <v>56</v>
      </c>
      <c r="K39" s="3">
        <v>3552</v>
      </c>
      <c r="L39" s="17" t="s">
        <v>131</v>
      </c>
      <c r="M39" s="18" t="s">
        <v>132</v>
      </c>
      <c r="N39" s="19">
        <v>2477</v>
      </c>
    </row>
    <row r="40" spans="10:14">
      <c r="J40" s="2" t="s">
        <v>57</v>
      </c>
      <c r="K40" s="3">
        <v>4028</v>
      </c>
      <c r="L40" s="17" t="s">
        <v>133</v>
      </c>
      <c r="M40" s="18" t="s">
        <v>134</v>
      </c>
      <c r="N40" s="19">
        <v>2465</v>
      </c>
    </row>
    <row r="41" spans="10:14">
      <c r="J41" s="2" t="s">
        <v>58</v>
      </c>
      <c r="K41" s="3">
        <v>4417</v>
      </c>
      <c r="L41" s="17" t="s">
        <v>135</v>
      </c>
      <c r="M41" s="18" t="s">
        <v>136</v>
      </c>
      <c r="N41" s="19">
        <v>2536</v>
      </c>
    </row>
    <row r="42" spans="10:14">
      <c r="J42" s="2" t="s">
        <v>59</v>
      </c>
      <c r="K42" s="3">
        <v>5296</v>
      </c>
      <c r="L42" s="17" t="s">
        <v>137</v>
      </c>
      <c r="M42" s="18" t="s">
        <v>138</v>
      </c>
      <c r="N42" s="19">
        <v>2588</v>
      </c>
    </row>
    <row r="43" spans="10:14">
      <c r="J43" s="2" t="s">
        <v>60</v>
      </c>
      <c r="K43" s="3">
        <v>4782</v>
      </c>
      <c r="L43" s="17" t="s">
        <v>139</v>
      </c>
      <c r="M43" s="18" t="s">
        <v>140</v>
      </c>
      <c r="N43" s="19">
        <v>2644</v>
      </c>
    </row>
    <row r="44" spans="10:14">
      <c r="J44" s="2" t="s">
        <v>61</v>
      </c>
      <c r="K44" s="3">
        <v>5078</v>
      </c>
      <c r="L44" s="17" t="s">
        <v>141</v>
      </c>
      <c r="M44" s="18" t="s">
        <v>142</v>
      </c>
      <c r="N44" s="19">
        <v>2746</v>
      </c>
    </row>
    <row r="45" spans="10:14">
      <c r="J45" s="2" t="s">
        <v>62</v>
      </c>
      <c r="K45" s="3">
        <v>5543</v>
      </c>
      <c r="L45" s="17" t="s">
        <v>143</v>
      </c>
      <c r="M45" s="18" t="s">
        <v>144</v>
      </c>
      <c r="N45" s="19">
        <v>2841</v>
      </c>
    </row>
    <row r="46" spans="10:14">
      <c r="L46" s="17" t="s">
        <v>145</v>
      </c>
      <c r="M46" s="18" t="s">
        <v>146</v>
      </c>
      <c r="N46" s="19">
        <v>2970</v>
      </c>
    </row>
    <row r="47" spans="10:14">
      <c r="J47" s="2" t="s">
        <v>542</v>
      </c>
      <c r="K47" s="3">
        <v>1035</v>
      </c>
    </row>
    <row r="48" spans="10:14">
      <c r="J48" s="2" t="s">
        <v>543</v>
      </c>
      <c r="K48" s="3">
        <v>1129</v>
      </c>
      <c r="L48" s="17" t="s">
        <v>149</v>
      </c>
      <c r="M48" s="18" t="s">
        <v>150</v>
      </c>
      <c r="N48" s="19">
        <v>3029</v>
      </c>
    </row>
    <row r="49" spans="10:14">
      <c r="L49" s="17" t="s">
        <v>151</v>
      </c>
      <c r="M49" s="18" t="s">
        <v>152</v>
      </c>
      <c r="N49" s="19">
        <v>3041</v>
      </c>
    </row>
    <row r="50" spans="10:14">
      <c r="J50" s="2" t="s">
        <v>545</v>
      </c>
      <c r="K50" s="3">
        <v>1210</v>
      </c>
      <c r="L50" s="17" t="s">
        <v>153</v>
      </c>
      <c r="M50" s="18" t="s">
        <v>154</v>
      </c>
      <c r="N50" s="19">
        <v>3078</v>
      </c>
    </row>
    <row r="51" spans="10:14">
      <c r="L51" s="17" t="s">
        <v>155</v>
      </c>
      <c r="M51" s="18" t="s">
        <v>156</v>
      </c>
      <c r="N51" s="19">
        <v>3151</v>
      </c>
    </row>
    <row r="52" spans="10:14">
      <c r="J52" s="2" t="s">
        <v>547</v>
      </c>
      <c r="K52" s="3">
        <v>1782</v>
      </c>
      <c r="L52" s="17" t="s">
        <v>157</v>
      </c>
      <c r="M52" s="18" t="s">
        <v>158</v>
      </c>
      <c r="N52" s="19">
        <v>3264</v>
      </c>
    </row>
    <row r="53" spans="10:14">
      <c r="J53" s="2" t="s">
        <v>548</v>
      </c>
      <c r="K53" s="3">
        <v>1583</v>
      </c>
      <c r="L53" s="17" t="s">
        <v>159</v>
      </c>
      <c r="M53" s="18" t="s">
        <v>160</v>
      </c>
      <c r="N53" s="19">
        <v>3078</v>
      </c>
    </row>
    <row r="54" spans="10:14">
      <c r="J54" s="2" t="s">
        <v>549</v>
      </c>
      <c r="K54" s="3">
        <v>1958</v>
      </c>
      <c r="L54" s="17" t="s">
        <v>161</v>
      </c>
      <c r="M54" s="18" t="s">
        <v>162</v>
      </c>
      <c r="N54" s="19">
        <v>3103</v>
      </c>
    </row>
    <row r="55" spans="10:14">
      <c r="J55" s="2" t="s">
        <v>550</v>
      </c>
      <c r="K55" s="3">
        <v>1814</v>
      </c>
      <c r="L55" s="17" t="s">
        <v>163</v>
      </c>
      <c r="M55" s="18" t="s">
        <v>164</v>
      </c>
      <c r="N55" s="19">
        <v>3049</v>
      </c>
    </row>
    <row r="56" spans="10:14">
      <c r="J56" s="2" t="s">
        <v>551</v>
      </c>
      <c r="K56" s="3">
        <v>2306</v>
      </c>
      <c r="L56" s="17" t="s">
        <v>165</v>
      </c>
      <c r="M56" s="18" t="s">
        <v>166</v>
      </c>
      <c r="N56" s="19">
        <v>3457</v>
      </c>
    </row>
    <row r="57" spans="10:14">
      <c r="L57" s="17" t="s">
        <v>167</v>
      </c>
      <c r="M57" s="18" t="s">
        <v>168</v>
      </c>
      <c r="N57" s="19">
        <v>3491</v>
      </c>
    </row>
    <row r="58" spans="10:14">
      <c r="J58" s="2" t="s">
        <v>553</v>
      </c>
      <c r="K58" s="3">
        <v>2049</v>
      </c>
      <c r="L58" s="17" t="s">
        <v>169</v>
      </c>
      <c r="M58" s="18" t="s">
        <v>170</v>
      </c>
      <c r="N58" s="19">
        <v>3459</v>
      </c>
    </row>
    <row r="59" spans="10:14">
      <c r="J59" s="2" t="s">
        <v>554</v>
      </c>
      <c r="K59" s="3">
        <v>1738</v>
      </c>
      <c r="L59" s="17" t="s">
        <v>171</v>
      </c>
      <c r="M59" s="18" t="s">
        <v>172</v>
      </c>
      <c r="N59" s="19">
        <v>3565</v>
      </c>
    </row>
    <row r="60" spans="10:14">
      <c r="J60" s="2" t="s">
        <v>555</v>
      </c>
      <c r="K60" s="3">
        <v>2306</v>
      </c>
      <c r="L60" s="17" t="s">
        <v>173</v>
      </c>
      <c r="M60" s="18" t="s">
        <v>174</v>
      </c>
      <c r="N60" s="19">
        <v>3641</v>
      </c>
    </row>
    <row r="61" spans="10:14">
      <c r="J61" s="2" t="s">
        <v>556</v>
      </c>
      <c r="K61" s="3">
        <v>2231</v>
      </c>
      <c r="L61" s="17" t="s">
        <v>175</v>
      </c>
      <c r="M61" s="18" t="s">
        <v>176</v>
      </c>
      <c r="N61" s="19">
        <v>3517</v>
      </c>
    </row>
    <row r="62" spans="10:14">
      <c r="J62" s="2" t="s">
        <v>557</v>
      </c>
      <c r="K62" s="3">
        <v>2632</v>
      </c>
      <c r="L62" s="17" t="s">
        <v>177</v>
      </c>
      <c r="M62" s="18" t="s">
        <v>178</v>
      </c>
      <c r="N62" s="19">
        <v>3791</v>
      </c>
    </row>
    <row r="63" spans="10:14">
      <c r="J63" s="2" t="s">
        <v>558</v>
      </c>
      <c r="K63" s="3">
        <v>2022</v>
      </c>
      <c r="L63" s="17" t="s">
        <v>179</v>
      </c>
      <c r="M63" s="18" t="s">
        <v>180</v>
      </c>
      <c r="N63" s="19">
        <v>3957</v>
      </c>
    </row>
    <row r="64" spans="10:14">
      <c r="L64" s="17" t="s">
        <v>181</v>
      </c>
      <c r="M64" s="18" t="s">
        <v>182</v>
      </c>
      <c r="N64" s="19">
        <v>4444</v>
      </c>
    </row>
    <row r="65" spans="10:14">
      <c r="J65" s="2" t="s">
        <v>560</v>
      </c>
      <c r="K65" s="3">
        <v>2417</v>
      </c>
      <c r="L65" s="17" t="s">
        <v>183</v>
      </c>
      <c r="M65" s="18" t="s">
        <v>184</v>
      </c>
      <c r="N65" s="19">
        <v>4547</v>
      </c>
    </row>
    <row r="66" spans="10:14">
      <c r="J66" s="2" t="s">
        <v>561</v>
      </c>
      <c r="K66" s="3">
        <v>3191</v>
      </c>
      <c r="L66" s="17" t="s">
        <v>185</v>
      </c>
      <c r="M66" s="18" t="s">
        <v>186</v>
      </c>
      <c r="N66" s="19">
        <v>4616</v>
      </c>
    </row>
    <row r="67" spans="10:14">
      <c r="J67" s="2" t="s">
        <v>562</v>
      </c>
      <c r="K67" s="3">
        <v>2971</v>
      </c>
      <c r="L67" s="17" t="s">
        <v>187</v>
      </c>
      <c r="M67" s="18" t="s">
        <v>188</v>
      </c>
      <c r="N67" s="19">
        <v>3565</v>
      </c>
    </row>
    <row r="68" spans="10:14">
      <c r="J68" s="2" t="s">
        <v>563</v>
      </c>
      <c r="K68" s="3">
        <v>4510</v>
      </c>
      <c r="L68" s="17" t="s">
        <v>189</v>
      </c>
      <c r="M68" s="18" t="s">
        <v>190</v>
      </c>
      <c r="N68" s="19">
        <v>3780</v>
      </c>
    </row>
    <row r="69" spans="10:14">
      <c r="L69" s="17" t="s">
        <v>191</v>
      </c>
      <c r="M69" s="18" t="s">
        <v>192</v>
      </c>
      <c r="N69" s="19">
        <v>3994</v>
      </c>
    </row>
    <row r="70" spans="10:14">
      <c r="J70" s="2" t="s">
        <v>565</v>
      </c>
      <c r="K70" s="3">
        <v>5272</v>
      </c>
      <c r="L70" s="17" t="s">
        <v>193</v>
      </c>
      <c r="M70" s="18" t="s">
        <v>194</v>
      </c>
      <c r="N70" s="19">
        <v>3753</v>
      </c>
    </row>
    <row r="71" spans="10:14">
      <c r="J71" s="2" t="s">
        <v>566</v>
      </c>
      <c r="K71" s="3">
        <v>6239</v>
      </c>
      <c r="L71" s="17" t="s">
        <v>195</v>
      </c>
      <c r="M71" s="18" t="s">
        <v>196</v>
      </c>
      <c r="N71" s="19">
        <v>3820</v>
      </c>
    </row>
    <row r="72" spans="10:14">
      <c r="L72" s="17" t="s">
        <v>197</v>
      </c>
      <c r="M72" s="18" t="s">
        <v>198</v>
      </c>
      <c r="N72" s="19">
        <v>3901</v>
      </c>
    </row>
    <row r="73" spans="10:14">
      <c r="J73" s="2" t="s">
        <v>567</v>
      </c>
      <c r="K73" s="3">
        <v>44395</v>
      </c>
      <c r="L73" s="17" t="s">
        <v>199</v>
      </c>
      <c r="M73" s="18" t="s">
        <v>200</v>
      </c>
      <c r="N73" s="19">
        <v>3927</v>
      </c>
    </row>
    <row r="74" spans="10:14">
      <c r="J74" s="2" t="s">
        <v>568</v>
      </c>
      <c r="K74" s="3">
        <v>51024</v>
      </c>
      <c r="L74" s="17" t="s">
        <v>201</v>
      </c>
      <c r="M74" s="18" t="s">
        <v>202</v>
      </c>
      <c r="N74" s="19">
        <v>4039</v>
      </c>
    </row>
    <row r="75" spans="10:14">
      <c r="L75" s="17" t="s">
        <v>203</v>
      </c>
      <c r="M75" s="18" t="s">
        <v>204</v>
      </c>
      <c r="N75" s="19">
        <v>4148</v>
      </c>
    </row>
    <row r="76" spans="10:14">
      <c r="L76" s="17" t="s">
        <v>205</v>
      </c>
      <c r="M76" s="18" t="s">
        <v>206</v>
      </c>
      <c r="N76" s="19">
        <v>4074</v>
      </c>
    </row>
    <row r="77" spans="10:14">
      <c r="J77" s="2" t="s">
        <v>571</v>
      </c>
      <c r="K77" s="3">
        <v>12334</v>
      </c>
      <c r="L77" s="17" t="s">
        <v>207</v>
      </c>
      <c r="M77" s="18" t="s">
        <v>208</v>
      </c>
      <c r="N77" s="19">
        <v>4106</v>
      </c>
    </row>
    <row r="78" spans="10:14">
      <c r="J78" s="2" t="s">
        <v>572</v>
      </c>
      <c r="K78" s="3">
        <v>14689</v>
      </c>
      <c r="L78" s="17" t="s">
        <v>209</v>
      </c>
      <c r="M78" s="18" t="s">
        <v>210</v>
      </c>
      <c r="N78" s="19">
        <v>4149</v>
      </c>
    </row>
    <row r="79" spans="10:14">
      <c r="J79" s="2" t="s">
        <v>573</v>
      </c>
      <c r="K79" s="3">
        <v>17178</v>
      </c>
      <c r="L79" s="17" t="s">
        <v>211</v>
      </c>
      <c r="M79" s="18" t="s">
        <v>212</v>
      </c>
      <c r="N79" s="19">
        <v>4215</v>
      </c>
    </row>
    <row r="80" spans="10:14">
      <c r="L80" s="17" t="s">
        <v>213</v>
      </c>
      <c r="M80" s="18" t="s">
        <v>214</v>
      </c>
      <c r="N80" s="19">
        <v>4292</v>
      </c>
    </row>
    <row r="81" spans="10:14">
      <c r="J81" s="2" t="s">
        <v>575</v>
      </c>
      <c r="K81" s="3">
        <v>18357</v>
      </c>
      <c r="L81" s="17" t="s">
        <v>215</v>
      </c>
      <c r="M81" s="18" t="s">
        <v>216</v>
      </c>
      <c r="N81" s="19">
        <v>4335</v>
      </c>
    </row>
    <row r="82" spans="10:14">
      <c r="J82" s="2" t="s">
        <v>576</v>
      </c>
      <c r="K82" s="3">
        <v>26052</v>
      </c>
      <c r="L82" s="17" t="s">
        <v>217</v>
      </c>
      <c r="M82" s="18" t="s">
        <v>218</v>
      </c>
      <c r="N82" s="19">
        <v>4261</v>
      </c>
    </row>
    <row r="83" spans="10:14">
      <c r="J83" s="2" t="s">
        <v>577</v>
      </c>
      <c r="K83" s="3">
        <v>25563</v>
      </c>
      <c r="L83" s="17" t="s">
        <v>219</v>
      </c>
      <c r="M83" s="18" t="s">
        <v>220</v>
      </c>
      <c r="N83" s="19">
        <v>4360</v>
      </c>
    </row>
    <row r="84" spans="10:14">
      <c r="J84" s="2" t="s">
        <v>578</v>
      </c>
      <c r="K84" s="3">
        <v>32772</v>
      </c>
      <c r="L84" s="17" t="s">
        <v>221</v>
      </c>
      <c r="M84" s="18" t="s">
        <v>222</v>
      </c>
      <c r="N84" s="19">
        <v>4759</v>
      </c>
    </row>
    <row r="85" spans="10:14">
      <c r="L85" s="17" t="s">
        <v>223</v>
      </c>
      <c r="M85" s="18" t="s">
        <v>224</v>
      </c>
      <c r="N85" s="19">
        <v>5129</v>
      </c>
    </row>
    <row r="86" spans="10:14">
      <c r="J86" s="2" t="s">
        <v>581</v>
      </c>
      <c r="K86" s="3">
        <v>6556</v>
      </c>
      <c r="L86" s="17" t="s">
        <v>225</v>
      </c>
      <c r="M86" s="18" t="s">
        <v>226</v>
      </c>
      <c r="N86" s="19">
        <v>4769</v>
      </c>
    </row>
    <row r="88" spans="10:14">
      <c r="J88" s="2" t="s">
        <v>583</v>
      </c>
      <c r="K88" s="3">
        <v>7405</v>
      </c>
      <c r="L88" s="17" t="s">
        <v>229</v>
      </c>
      <c r="M88" s="18" t="s">
        <v>230</v>
      </c>
      <c r="N88" s="19">
        <v>5022</v>
      </c>
    </row>
    <row r="90" spans="10:14" ht="24">
      <c r="J90" s="2" t="s">
        <v>585</v>
      </c>
      <c r="K90" s="3">
        <v>12059</v>
      </c>
      <c r="L90" s="21" t="s">
        <v>586</v>
      </c>
      <c r="M90" s="22" t="s">
        <v>587</v>
      </c>
      <c r="N90" s="23">
        <v>835</v>
      </c>
    </row>
    <row r="91" spans="10:14" ht="24">
      <c r="L91" s="21" t="s">
        <v>588</v>
      </c>
      <c r="M91" s="22" t="s">
        <v>589</v>
      </c>
      <c r="N91" s="23">
        <v>928</v>
      </c>
    </row>
    <row r="93" spans="10:14" ht="24">
      <c r="L93" s="21" t="s">
        <v>592</v>
      </c>
      <c r="M93" s="22" t="s">
        <v>593</v>
      </c>
      <c r="N93" s="23">
        <v>1012</v>
      </c>
    </row>
    <row r="94" spans="10:14" ht="24">
      <c r="L94" s="21" t="s">
        <v>594</v>
      </c>
      <c r="M94" s="22" t="s">
        <v>595</v>
      </c>
      <c r="N94" s="23">
        <v>1117</v>
      </c>
    </row>
    <row r="96" spans="10:14" ht="24">
      <c r="L96" s="21" t="s">
        <v>598</v>
      </c>
      <c r="M96" s="22" t="s">
        <v>599</v>
      </c>
      <c r="N96" s="23">
        <v>1308</v>
      </c>
    </row>
    <row r="97" spans="12:14" ht="24">
      <c r="L97" s="21" t="s">
        <v>600</v>
      </c>
      <c r="M97" s="22" t="s">
        <v>601</v>
      </c>
      <c r="N97" s="23">
        <v>1639</v>
      </c>
    </row>
    <row r="98" spans="12:14" ht="24">
      <c r="L98" s="21" t="s">
        <v>602</v>
      </c>
      <c r="M98" s="22" t="s">
        <v>603</v>
      </c>
      <c r="N98" s="23">
        <v>1430</v>
      </c>
    </row>
    <row r="99" spans="12:14" ht="24">
      <c r="L99" s="21" t="s">
        <v>604</v>
      </c>
      <c r="M99" s="22" t="s">
        <v>605</v>
      </c>
      <c r="N99" s="23">
        <v>1485</v>
      </c>
    </row>
    <row r="100" spans="12:14" ht="24">
      <c r="L100" s="21" t="s">
        <v>606</v>
      </c>
      <c r="M100" s="22" t="s">
        <v>607</v>
      </c>
      <c r="N100" s="23">
        <v>1925</v>
      </c>
    </row>
    <row r="101" spans="12:14" ht="24">
      <c r="L101" s="21" t="s">
        <v>608</v>
      </c>
      <c r="M101" s="22" t="s">
        <v>609</v>
      </c>
      <c r="N101" s="23">
        <v>2151</v>
      </c>
    </row>
    <row r="102" spans="12:14" ht="24">
      <c r="L102" s="21" t="s">
        <v>610</v>
      </c>
      <c r="M102" s="22" t="s">
        <v>611</v>
      </c>
      <c r="N102" s="23">
        <v>1293</v>
      </c>
    </row>
    <row r="104" spans="12:14" ht="24">
      <c r="L104" s="21" t="s">
        <v>614</v>
      </c>
      <c r="M104" s="22" t="s">
        <v>615</v>
      </c>
      <c r="N104" s="23">
        <v>1414</v>
      </c>
    </row>
    <row r="105" spans="12:14" ht="24">
      <c r="L105" s="21" t="s">
        <v>616</v>
      </c>
      <c r="M105" s="22" t="s">
        <v>617</v>
      </c>
      <c r="N105" s="23">
        <v>1918</v>
      </c>
    </row>
    <row r="106" spans="12:14" ht="24">
      <c r="L106" s="21" t="s">
        <v>618</v>
      </c>
      <c r="M106" s="22" t="s">
        <v>619</v>
      </c>
      <c r="N106" s="23">
        <v>1870</v>
      </c>
    </row>
    <row r="107" spans="12:14" ht="24">
      <c r="L107" s="21" t="s">
        <v>620</v>
      </c>
      <c r="M107" s="22" t="s">
        <v>621</v>
      </c>
      <c r="N107" s="23">
        <v>2123</v>
      </c>
    </row>
    <row r="108" spans="12:14" ht="24">
      <c r="L108" s="17" t="s">
        <v>622</v>
      </c>
      <c r="M108" s="18" t="s">
        <v>623</v>
      </c>
      <c r="N108" s="19">
        <v>2508</v>
      </c>
    </row>
    <row r="109" spans="12:14" ht="24">
      <c r="L109" s="17" t="s">
        <v>624</v>
      </c>
      <c r="M109" s="18" t="s">
        <v>625</v>
      </c>
      <c r="N109" s="19">
        <v>2915</v>
      </c>
    </row>
    <row r="110" spans="12:14" ht="24">
      <c r="L110" s="17" t="s">
        <v>626</v>
      </c>
      <c r="M110" s="18" t="s">
        <v>627</v>
      </c>
      <c r="N110" s="19">
        <v>3097</v>
      </c>
    </row>
    <row r="111" spans="12:14" ht="24">
      <c r="L111" s="17" t="s">
        <v>628</v>
      </c>
      <c r="M111" s="18" t="s">
        <v>629</v>
      </c>
      <c r="N111" s="19">
        <v>3595</v>
      </c>
    </row>
    <row r="112" spans="12:14" ht="24">
      <c r="L112" s="17" t="s">
        <v>630</v>
      </c>
      <c r="M112" s="18" t="s">
        <v>631</v>
      </c>
      <c r="N112" s="19">
        <v>1667</v>
      </c>
    </row>
    <row r="114" spans="12:14" ht="24">
      <c r="L114" s="17" t="s">
        <v>634</v>
      </c>
      <c r="M114" s="18" t="s">
        <v>635</v>
      </c>
      <c r="N114" s="19">
        <v>1956</v>
      </c>
    </row>
    <row r="115" spans="12:14" ht="24">
      <c r="L115" s="17" t="s">
        <v>636</v>
      </c>
      <c r="M115" s="18" t="s">
        <v>637</v>
      </c>
      <c r="N115" s="19">
        <v>2657</v>
      </c>
    </row>
    <row r="116" spans="12:14" ht="24">
      <c r="L116" s="17" t="s">
        <v>638</v>
      </c>
      <c r="M116" s="18" t="s">
        <v>639</v>
      </c>
      <c r="N116" s="19">
        <v>3102</v>
      </c>
    </row>
    <row r="117" spans="12:14" ht="24">
      <c r="L117" s="17" t="s">
        <v>640</v>
      </c>
      <c r="M117" s="18" t="s">
        <v>641</v>
      </c>
      <c r="N117" s="19">
        <v>2508</v>
      </c>
    </row>
    <row r="118" spans="12:14" ht="24">
      <c r="L118" s="17" t="s">
        <v>642</v>
      </c>
      <c r="M118" s="18" t="s">
        <v>643</v>
      </c>
      <c r="N118" s="19">
        <v>3740</v>
      </c>
    </row>
    <row r="119" spans="12:14" ht="24">
      <c r="L119" s="17" t="s">
        <v>644</v>
      </c>
      <c r="M119" s="18" t="s">
        <v>645</v>
      </c>
      <c r="N119" s="19">
        <v>3520</v>
      </c>
    </row>
    <row r="120" spans="12:14" ht="24">
      <c r="L120" s="17" t="s">
        <v>646</v>
      </c>
      <c r="M120" s="18" t="s">
        <v>647</v>
      </c>
      <c r="N120" s="19">
        <v>4197</v>
      </c>
    </row>
    <row r="121" spans="12:14" ht="24">
      <c r="L121" s="17" t="s">
        <v>648</v>
      </c>
      <c r="M121" s="18" t="s">
        <v>649</v>
      </c>
      <c r="N121" s="19">
        <v>4923</v>
      </c>
    </row>
    <row r="123" spans="12:14">
      <c r="L123" s="20"/>
      <c r="M123" s="20" t="s">
        <v>665</v>
      </c>
      <c r="N123" s="19"/>
    </row>
    <row r="124" spans="12:14" ht="24">
      <c r="L124" s="21" t="s">
        <v>666</v>
      </c>
      <c r="M124" s="22" t="s">
        <v>667</v>
      </c>
      <c r="N124" s="23">
        <v>33000</v>
      </c>
    </row>
    <row r="125" spans="12:14" ht="24">
      <c r="L125" s="21" t="s">
        <v>668</v>
      </c>
      <c r="M125" s="22" t="s">
        <v>669</v>
      </c>
      <c r="N125" s="23">
        <v>35750</v>
      </c>
    </row>
    <row r="126" spans="12:14" ht="24">
      <c r="L126" s="21" t="s">
        <v>670</v>
      </c>
      <c r="M126" s="22" t="s">
        <v>671</v>
      </c>
      <c r="N126" s="23">
        <v>41030</v>
      </c>
    </row>
    <row r="129" spans="12:14" ht="24">
      <c r="L129" s="21" t="s">
        <v>676</v>
      </c>
      <c r="M129" s="22" t="s">
        <v>677</v>
      </c>
      <c r="N129" s="23">
        <v>9900</v>
      </c>
    </row>
    <row r="130" spans="12:14" ht="24">
      <c r="L130" s="21" t="s">
        <v>678</v>
      </c>
      <c r="M130" s="22" t="s">
        <v>679</v>
      </c>
      <c r="N130" s="23">
        <v>10230</v>
      </c>
    </row>
    <row r="131" spans="12:14" ht="24">
      <c r="L131" s="21" t="s">
        <v>680</v>
      </c>
      <c r="M131" s="22" t="s">
        <v>681</v>
      </c>
      <c r="N131" s="23">
        <v>11770</v>
      </c>
    </row>
    <row r="132" spans="12:14" ht="24">
      <c r="L132" s="21" t="s">
        <v>682</v>
      </c>
      <c r="M132" s="22" t="s">
        <v>683</v>
      </c>
      <c r="N132" s="23">
        <v>12980</v>
      </c>
    </row>
    <row r="133" spans="12:14" ht="24">
      <c r="L133" s="21" t="s">
        <v>684</v>
      </c>
      <c r="M133" s="22" t="s">
        <v>685</v>
      </c>
      <c r="N133" s="23">
        <v>13750</v>
      </c>
    </row>
    <row r="135" spans="12:14" ht="24">
      <c r="L135" s="21" t="s">
        <v>688</v>
      </c>
      <c r="M135" s="22" t="s">
        <v>689</v>
      </c>
      <c r="N135" s="23">
        <v>14740</v>
      </c>
    </row>
    <row r="136" spans="12:14" ht="24">
      <c r="L136" s="21" t="s">
        <v>690</v>
      </c>
      <c r="M136" s="22" t="s">
        <v>691</v>
      </c>
      <c r="N136" s="23">
        <v>20900</v>
      </c>
    </row>
    <row r="137" spans="12:14" ht="24">
      <c r="L137" s="21" t="s">
        <v>692</v>
      </c>
      <c r="M137" s="22" t="s">
        <v>693</v>
      </c>
      <c r="N137" s="23">
        <v>20570</v>
      </c>
    </row>
    <row r="138" spans="12:14" ht="24">
      <c r="L138" s="21" t="s">
        <v>694</v>
      </c>
      <c r="M138" s="22" t="s">
        <v>695</v>
      </c>
      <c r="N138" s="23">
        <v>26400</v>
      </c>
    </row>
    <row r="139" spans="12:14" ht="24.75" thickBot="1">
      <c r="L139" s="26" t="s">
        <v>696</v>
      </c>
      <c r="M139" s="27" t="s">
        <v>697</v>
      </c>
      <c r="N139" s="28">
        <v>33000</v>
      </c>
    </row>
    <row r="141" spans="12:14" ht="24">
      <c r="L141" s="17" t="s">
        <v>650</v>
      </c>
      <c r="M141" s="18" t="s">
        <v>651</v>
      </c>
      <c r="N141" s="19">
        <v>3608</v>
      </c>
    </row>
    <row r="142" spans="12:14" ht="24">
      <c r="L142" s="17" t="s">
        <v>652</v>
      </c>
      <c r="M142" s="18" t="s">
        <v>651</v>
      </c>
      <c r="N142" s="19">
        <v>4125</v>
      </c>
    </row>
    <row r="144" spans="12:14" ht="24">
      <c r="L144" s="17" t="s">
        <v>655</v>
      </c>
      <c r="M144" s="18" t="s">
        <v>656</v>
      </c>
      <c r="N144" s="19">
        <v>5621</v>
      </c>
    </row>
    <row r="146" spans="12:14" ht="24">
      <c r="L146" s="17" t="s">
        <v>659</v>
      </c>
      <c r="M146" s="18" t="s">
        <v>660</v>
      </c>
      <c r="N146" s="19">
        <v>6270</v>
      </c>
    </row>
    <row r="147" spans="12:14" ht="24">
      <c r="L147" s="17" t="s">
        <v>661</v>
      </c>
      <c r="M147" s="18" t="s">
        <v>662</v>
      </c>
      <c r="N147" s="19">
        <v>6930</v>
      </c>
    </row>
    <row r="148" spans="12:14" ht="24">
      <c r="L148" s="17" t="s">
        <v>663</v>
      </c>
      <c r="M148" s="18" t="s">
        <v>664</v>
      </c>
      <c r="N148" s="19">
        <v>8635</v>
      </c>
    </row>
  </sheetData>
  <mergeCells count="4">
    <mergeCell ref="J1:K1"/>
    <mergeCell ref="B1:I1"/>
    <mergeCell ref="L1:N1"/>
    <mergeCell ref="O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90"/>
  <sheetViews>
    <sheetView workbookViewId="0">
      <selection activeCell="Y2" sqref="Y2:Y49"/>
    </sheetView>
  </sheetViews>
  <sheetFormatPr defaultRowHeight="15"/>
  <cols>
    <col min="2" max="2" width="46.140625" customWidth="1"/>
    <col min="4" max="4" width="12" customWidth="1"/>
    <col min="5" max="5" width="11" customWidth="1"/>
    <col min="6" max="6" width="9.5703125" customWidth="1"/>
    <col min="7" max="7" width="16.5703125" customWidth="1"/>
  </cols>
  <sheetData>
    <row r="2" spans="2:25">
      <c r="B2" t="s">
        <v>959</v>
      </c>
      <c r="D2">
        <v>1060500</v>
      </c>
      <c r="E2" t="s">
        <v>960</v>
      </c>
      <c r="F2" t="s">
        <v>955</v>
      </c>
      <c r="G2" t="s">
        <v>949</v>
      </c>
      <c r="H2" t="s">
        <v>961</v>
      </c>
      <c r="I2" t="s">
        <v>962</v>
      </c>
      <c r="N2" s="25" t="s">
        <v>1262</v>
      </c>
    </row>
    <row r="3" spans="2:25">
      <c r="B3" t="s">
        <v>963</v>
      </c>
      <c r="D3">
        <v>1380500</v>
      </c>
      <c r="E3" t="s">
        <v>960</v>
      </c>
      <c r="F3" t="s">
        <v>953</v>
      </c>
      <c r="G3" t="s">
        <v>949</v>
      </c>
      <c r="H3" t="s">
        <v>964</v>
      </c>
      <c r="I3" t="s">
        <v>965</v>
      </c>
      <c r="N3" s="25">
        <v>300</v>
      </c>
      <c r="O3" s="25">
        <v>250</v>
      </c>
      <c r="P3" s="25">
        <v>150</v>
      </c>
      <c r="Q3" s="25">
        <v>235</v>
      </c>
      <c r="R3" s="25">
        <v>186</v>
      </c>
      <c r="S3" s="25">
        <v>239</v>
      </c>
      <c r="T3" s="25">
        <v>210</v>
      </c>
      <c r="U3" s="25">
        <v>189</v>
      </c>
      <c r="V3" s="25">
        <v>160</v>
      </c>
      <c r="W3" s="25" t="s">
        <v>0</v>
      </c>
      <c r="X3" s="25">
        <v>1</v>
      </c>
      <c r="Y3" s="25" t="s">
        <v>1255</v>
      </c>
    </row>
    <row r="4" spans="2:25">
      <c r="N4" s="25">
        <v>300</v>
      </c>
      <c r="O4" s="25">
        <v>300</v>
      </c>
      <c r="P4" s="25">
        <v>150</v>
      </c>
      <c r="Q4" s="25">
        <v>235</v>
      </c>
      <c r="R4" s="25">
        <v>236</v>
      </c>
      <c r="S4" s="25">
        <v>239</v>
      </c>
      <c r="T4" s="25">
        <v>210</v>
      </c>
      <c r="U4" s="25">
        <v>239</v>
      </c>
      <c r="V4" s="25">
        <v>210</v>
      </c>
      <c r="W4" s="25" t="s">
        <v>0</v>
      </c>
      <c r="X4" s="25">
        <v>1</v>
      </c>
      <c r="Y4" s="25" t="s">
        <v>1263</v>
      </c>
    </row>
    <row r="5" spans="2:25">
      <c r="B5" t="s">
        <v>966</v>
      </c>
      <c r="D5">
        <v>1034500</v>
      </c>
      <c r="E5" t="s">
        <v>960</v>
      </c>
      <c r="F5">
        <v>4</v>
      </c>
      <c r="G5" t="s">
        <v>949</v>
      </c>
      <c r="H5" t="s">
        <v>967</v>
      </c>
      <c r="I5" t="s">
        <v>968</v>
      </c>
      <c r="N5" s="25">
        <v>300</v>
      </c>
      <c r="O5" s="25">
        <v>400</v>
      </c>
      <c r="P5" s="25">
        <v>150</v>
      </c>
      <c r="Q5" s="25">
        <v>235</v>
      </c>
      <c r="R5" s="25">
        <v>336</v>
      </c>
      <c r="S5" s="25">
        <v>239</v>
      </c>
      <c r="T5" s="25">
        <v>210</v>
      </c>
      <c r="U5" s="25">
        <v>339</v>
      </c>
      <c r="V5" s="25">
        <v>310</v>
      </c>
      <c r="W5" s="25" t="s">
        <v>0</v>
      </c>
      <c r="X5" s="25">
        <v>1</v>
      </c>
      <c r="Y5" s="25" t="s">
        <v>1256</v>
      </c>
    </row>
    <row r="6" spans="2:25">
      <c r="N6" s="25">
        <v>300</v>
      </c>
      <c r="O6" s="25">
        <v>400</v>
      </c>
      <c r="P6" s="25">
        <v>200</v>
      </c>
      <c r="Q6" s="25">
        <v>235</v>
      </c>
      <c r="R6" s="25">
        <v>336</v>
      </c>
      <c r="S6" s="25">
        <v>239</v>
      </c>
      <c r="T6" s="25">
        <v>210</v>
      </c>
      <c r="U6" s="25">
        <v>339</v>
      </c>
      <c r="V6" s="25">
        <v>310</v>
      </c>
      <c r="W6" s="25" t="s">
        <v>0</v>
      </c>
      <c r="X6" s="25">
        <v>1</v>
      </c>
      <c r="Y6" s="25" t="s">
        <v>1257</v>
      </c>
    </row>
    <row r="7" spans="2:25">
      <c r="B7" t="s">
        <v>969</v>
      </c>
      <c r="D7">
        <v>1058500</v>
      </c>
      <c r="E7" t="s">
        <v>960</v>
      </c>
      <c r="F7" t="s">
        <v>952</v>
      </c>
      <c r="G7" t="s">
        <v>949</v>
      </c>
      <c r="H7" t="s">
        <v>970</v>
      </c>
      <c r="I7" t="s">
        <v>971</v>
      </c>
      <c r="N7" s="25">
        <v>400</v>
      </c>
      <c r="O7" s="25">
        <v>300</v>
      </c>
      <c r="P7" s="25">
        <v>150</v>
      </c>
      <c r="Q7" s="25">
        <v>335</v>
      </c>
      <c r="R7" s="25">
        <v>236</v>
      </c>
      <c r="S7" s="25">
        <v>339</v>
      </c>
      <c r="T7" s="25">
        <v>310</v>
      </c>
      <c r="U7" s="25">
        <v>239</v>
      </c>
      <c r="V7" s="25">
        <v>210</v>
      </c>
      <c r="W7" s="25" t="s">
        <v>0</v>
      </c>
      <c r="X7" s="25">
        <v>1</v>
      </c>
      <c r="Y7" s="25" t="s">
        <v>1258</v>
      </c>
    </row>
    <row r="8" spans="2:25">
      <c r="N8" s="25">
        <v>400</v>
      </c>
      <c r="O8" s="25">
        <v>300</v>
      </c>
      <c r="P8" s="25">
        <v>200</v>
      </c>
      <c r="Q8" s="25">
        <v>335</v>
      </c>
      <c r="R8" s="25">
        <v>236</v>
      </c>
      <c r="S8" s="25">
        <v>339</v>
      </c>
      <c r="T8" s="25">
        <v>310</v>
      </c>
      <c r="U8" s="25">
        <v>239</v>
      </c>
      <c r="V8" s="25">
        <v>210</v>
      </c>
      <c r="W8" s="25" t="s">
        <v>0</v>
      </c>
      <c r="X8" s="25">
        <v>1</v>
      </c>
      <c r="Y8" s="25" t="s">
        <v>1259</v>
      </c>
    </row>
    <row r="9" spans="2:25">
      <c r="B9" t="s">
        <v>972</v>
      </c>
      <c r="D9">
        <v>1090500</v>
      </c>
      <c r="E9" t="s">
        <v>960</v>
      </c>
      <c r="F9" t="s">
        <v>973</v>
      </c>
      <c r="G9" t="s">
        <v>949</v>
      </c>
      <c r="H9" t="s">
        <v>974</v>
      </c>
      <c r="I9" t="s">
        <v>975</v>
      </c>
      <c r="N9" s="25">
        <v>400</v>
      </c>
      <c r="O9" s="25">
        <v>400</v>
      </c>
      <c r="P9" s="25">
        <v>200</v>
      </c>
      <c r="Q9" s="25">
        <v>335</v>
      </c>
      <c r="R9" s="25">
        <v>336</v>
      </c>
      <c r="S9" s="25">
        <v>339</v>
      </c>
      <c r="T9" s="25">
        <v>310</v>
      </c>
      <c r="U9" s="25">
        <v>339</v>
      </c>
      <c r="V9" s="25">
        <v>310</v>
      </c>
      <c r="W9" s="25" t="s">
        <v>0</v>
      </c>
      <c r="X9" s="25">
        <v>1</v>
      </c>
      <c r="Y9" s="25" t="s">
        <v>1260</v>
      </c>
    </row>
    <row r="10" spans="2:25">
      <c r="N10" s="25">
        <v>400</v>
      </c>
      <c r="O10" s="25">
        <v>600</v>
      </c>
      <c r="P10" s="25">
        <v>200</v>
      </c>
      <c r="Q10" s="25">
        <v>335</v>
      </c>
      <c r="R10" s="25">
        <v>536</v>
      </c>
      <c r="S10" s="25">
        <v>339</v>
      </c>
      <c r="T10" s="25">
        <v>310</v>
      </c>
      <c r="U10" s="25">
        <v>539</v>
      </c>
      <c r="V10" s="25">
        <v>510</v>
      </c>
      <c r="W10" s="25" t="s">
        <v>0</v>
      </c>
      <c r="X10" s="25">
        <v>1</v>
      </c>
      <c r="Y10" s="25" t="s">
        <v>1261</v>
      </c>
    </row>
    <row r="11" spans="2:25">
      <c r="B11" t="s">
        <v>976</v>
      </c>
      <c r="D11">
        <v>1045500</v>
      </c>
      <c r="E11" t="s">
        <v>960</v>
      </c>
      <c r="F11" t="s">
        <v>951</v>
      </c>
      <c r="G11" t="s">
        <v>949</v>
      </c>
      <c r="H11" t="s">
        <v>977</v>
      </c>
      <c r="I11" t="s">
        <v>978</v>
      </c>
      <c r="N11" s="25">
        <v>500</v>
      </c>
      <c r="O11" s="25">
        <v>300</v>
      </c>
      <c r="P11" s="25">
        <v>150</v>
      </c>
      <c r="Q11" s="25">
        <v>435</v>
      </c>
      <c r="R11" s="25">
        <v>236</v>
      </c>
      <c r="S11" s="25">
        <v>439</v>
      </c>
      <c r="T11" s="25">
        <v>410</v>
      </c>
      <c r="U11" s="25">
        <v>239</v>
      </c>
      <c r="V11" s="25">
        <v>210</v>
      </c>
      <c r="W11" s="25" t="s">
        <v>0</v>
      </c>
      <c r="X11" s="25">
        <v>2</v>
      </c>
      <c r="Y11" s="25" t="s">
        <v>1264</v>
      </c>
    </row>
    <row r="12" spans="2:25">
      <c r="N12" s="25">
        <v>500</v>
      </c>
      <c r="O12" s="25">
        <v>300</v>
      </c>
      <c r="P12" s="25">
        <v>200</v>
      </c>
      <c r="Q12" s="25">
        <v>435</v>
      </c>
      <c r="R12" s="25">
        <v>236</v>
      </c>
      <c r="S12" s="25">
        <v>439</v>
      </c>
      <c r="T12" s="25">
        <v>410</v>
      </c>
      <c r="U12" s="25">
        <v>239</v>
      </c>
      <c r="V12" s="25">
        <v>210</v>
      </c>
      <c r="W12" s="25" t="s">
        <v>0</v>
      </c>
      <c r="X12" s="25">
        <v>2</v>
      </c>
      <c r="Y12" s="25" t="s">
        <v>1265</v>
      </c>
    </row>
    <row r="13" spans="2:25">
      <c r="B13" t="s">
        <v>979</v>
      </c>
      <c r="D13">
        <v>1360500</v>
      </c>
      <c r="E13" t="s">
        <v>960</v>
      </c>
      <c r="F13" t="s">
        <v>951</v>
      </c>
      <c r="G13" t="s">
        <v>949</v>
      </c>
      <c r="H13" t="s">
        <v>980</v>
      </c>
      <c r="I13" t="s">
        <v>981</v>
      </c>
      <c r="N13" s="25">
        <v>500</v>
      </c>
      <c r="O13" s="25">
        <v>400</v>
      </c>
      <c r="P13" s="25">
        <v>200</v>
      </c>
      <c r="Q13" s="25">
        <v>435</v>
      </c>
      <c r="R13" s="25">
        <v>336</v>
      </c>
      <c r="S13" s="25">
        <v>439</v>
      </c>
      <c r="T13" s="25">
        <v>410</v>
      </c>
      <c r="U13" s="25">
        <v>339</v>
      </c>
      <c r="V13" s="25">
        <v>310</v>
      </c>
      <c r="W13" s="25" t="s">
        <v>0</v>
      </c>
      <c r="X13" s="25">
        <v>2</v>
      </c>
      <c r="Y13" s="25" t="s">
        <v>1266</v>
      </c>
    </row>
    <row r="14" spans="2:25">
      <c r="N14" s="25">
        <v>500</v>
      </c>
      <c r="O14" s="25">
        <v>500</v>
      </c>
      <c r="P14" s="25">
        <v>200</v>
      </c>
      <c r="Q14" s="25">
        <v>435</v>
      </c>
      <c r="R14" s="25">
        <v>436</v>
      </c>
      <c r="S14" s="25">
        <v>439</v>
      </c>
      <c r="T14" s="25">
        <v>410</v>
      </c>
      <c r="U14" s="25">
        <v>439</v>
      </c>
      <c r="V14" s="25">
        <v>410</v>
      </c>
      <c r="W14" s="25" t="s">
        <v>0</v>
      </c>
      <c r="X14" s="25">
        <v>2</v>
      </c>
      <c r="Y14" s="25" t="s">
        <v>1267</v>
      </c>
    </row>
    <row r="15" spans="2:25">
      <c r="B15" t="s">
        <v>982</v>
      </c>
      <c r="D15">
        <v>1180500</v>
      </c>
      <c r="E15" t="s">
        <v>960</v>
      </c>
      <c r="F15" t="s">
        <v>954</v>
      </c>
      <c r="G15" t="s">
        <v>949</v>
      </c>
      <c r="H15" t="s">
        <v>983</v>
      </c>
      <c r="I15" t="s">
        <v>984</v>
      </c>
      <c r="N15" s="25">
        <v>500</v>
      </c>
      <c r="O15" s="25">
        <v>600</v>
      </c>
      <c r="P15" s="25">
        <v>200</v>
      </c>
      <c r="Q15" s="25">
        <v>435</v>
      </c>
      <c r="R15" s="25">
        <v>536</v>
      </c>
      <c r="S15" s="25">
        <v>439</v>
      </c>
      <c r="T15" s="25">
        <v>410</v>
      </c>
      <c r="U15" s="25">
        <v>539</v>
      </c>
      <c r="V15" s="25">
        <v>510</v>
      </c>
      <c r="W15" s="25" t="s">
        <v>0</v>
      </c>
      <c r="X15" s="25">
        <v>2</v>
      </c>
      <c r="Y15" s="25" t="s">
        <v>1268</v>
      </c>
    </row>
    <row r="16" spans="2:25">
      <c r="N16" s="25">
        <v>500</v>
      </c>
      <c r="O16" s="25">
        <v>400</v>
      </c>
      <c r="P16" s="25">
        <v>250</v>
      </c>
      <c r="Q16" s="25">
        <v>435</v>
      </c>
      <c r="R16" s="25">
        <v>336</v>
      </c>
      <c r="S16" s="25">
        <v>439</v>
      </c>
      <c r="T16" s="25">
        <v>410</v>
      </c>
      <c r="U16" s="25">
        <v>339</v>
      </c>
      <c r="V16" s="25">
        <v>310</v>
      </c>
      <c r="W16" s="25" t="s">
        <v>0</v>
      </c>
      <c r="X16" s="25">
        <v>2</v>
      </c>
      <c r="Y16" s="25" t="s">
        <v>1269</v>
      </c>
    </row>
    <row r="17" spans="2:25">
      <c r="B17" t="s">
        <v>985</v>
      </c>
      <c r="D17">
        <v>1057500</v>
      </c>
      <c r="E17" t="s">
        <v>960</v>
      </c>
      <c r="F17" t="s">
        <v>954</v>
      </c>
      <c r="G17" t="s">
        <v>949</v>
      </c>
      <c r="H17" t="s">
        <v>986</v>
      </c>
      <c r="I17" t="s">
        <v>987</v>
      </c>
      <c r="N17" s="25">
        <v>500</v>
      </c>
      <c r="O17" s="25">
        <v>500</v>
      </c>
      <c r="P17" s="25">
        <v>300</v>
      </c>
      <c r="Q17" s="25">
        <v>435</v>
      </c>
      <c r="R17" s="25">
        <v>436</v>
      </c>
      <c r="S17" s="25">
        <v>439</v>
      </c>
      <c r="T17" s="25">
        <v>410</v>
      </c>
      <c r="U17" s="25">
        <v>439</v>
      </c>
      <c r="V17" s="25">
        <v>410</v>
      </c>
      <c r="W17" s="25" t="s">
        <v>0</v>
      </c>
      <c r="X17" s="25">
        <v>2</v>
      </c>
      <c r="Y17" s="25" t="s">
        <v>1270</v>
      </c>
    </row>
    <row r="18" spans="2:25">
      <c r="N18" s="25">
        <v>500</v>
      </c>
      <c r="O18" s="25">
        <v>600</v>
      </c>
      <c r="P18" s="25">
        <v>300</v>
      </c>
      <c r="Q18" s="25">
        <v>435</v>
      </c>
      <c r="R18" s="25">
        <v>536</v>
      </c>
      <c r="S18" s="25">
        <v>439</v>
      </c>
      <c r="T18" s="25">
        <v>410</v>
      </c>
      <c r="U18" s="25">
        <v>539</v>
      </c>
      <c r="V18" s="25">
        <v>510</v>
      </c>
      <c r="W18" s="25" t="s">
        <v>0</v>
      </c>
      <c r="X18" s="25">
        <v>2</v>
      </c>
      <c r="Y18" s="25" t="s">
        <v>1271</v>
      </c>
    </row>
    <row r="19" spans="2:25">
      <c r="B19" t="s">
        <v>985</v>
      </c>
      <c r="D19">
        <v>1057500</v>
      </c>
      <c r="E19" t="s">
        <v>960</v>
      </c>
      <c r="F19" t="s">
        <v>954</v>
      </c>
      <c r="G19" t="s">
        <v>949</v>
      </c>
      <c r="H19" t="s">
        <v>988</v>
      </c>
      <c r="I19" t="s">
        <v>987</v>
      </c>
      <c r="N19" s="25">
        <v>600</v>
      </c>
      <c r="O19" s="25">
        <v>400</v>
      </c>
      <c r="P19" s="25">
        <v>200</v>
      </c>
      <c r="Q19" s="25">
        <v>535</v>
      </c>
      <c r="R19" s="25">
        <v>336</v>
      </c>
      <c r="S19" s="25">
        <v>539</v>
      </c>
      <c r="T19" s="25">
        <v>510</v>
      </c>
      <c r="U19" s="25">
        <v>339</v>
      </c>
      <c r="V19" s="25">
        <v>310</v>
      </c>
      <c r="W19" s="25" t="s">
        <v>0</v>
      </c>
      <c r="X19" s="25">
        <v>2</v>
      </c>
      <c r="Y19" s="25" t="s">
        <v>1272</v>
      </c>
    </row>
    <row r="20" spans="2:25">
      <c r="N20" s="25">
        <v>600</v>
      </c>
      <c r="O20" s="25">
        <v>500</v>
      </c>
      <c r="P20" s="25">
        <v>200</v>
      </c>
      <c r="Q20" s="25">
        <v>535</v>
      </c>
      <c r="R20" s="25">
        <v>436</v>
      </c>
      <c r="S20" s="25">
        <v>539</v>
      </c>
      <c r="T20" s="25">
        <v>510</v>
      </c>
      <c r="U20" s="25">
        <v>439</v>
      </c>
      <c r="V20" s="25">
        <v>410</v>
      </c>
      <c r="W20" s="25" t="s">
        <v>0</v>
      </c>
      <c r="X20" s="25">
        <v>2</v>
      </c>
      <c r="Y20" s="25" t="s">
        <v>1273</v>
      </c>
    </row>
    <row r="21" spans="2:25">
      <c r="B21" t="s">
        <v>989</v>
      </c>
      <c r="D21">
        <v>1038500</v>
      </c>
      <c r="E21" t="s">
        <v>960</v>
      </c>
      <c r="F21">
        <v>1</v>
      </c>
      <c r="G21" t="s">
        <v>949</v>
      </c>
      <c r="H21" t="s">
        <v>990</v>
      </c>
      <c r="I21" t="s">
        <v>991</v>
      </c>
      <c r="N21" s="25">
        <v>600</v>
      </c>
      <c r="O21" s="25">
        <v>400</v>
      </c>
      <c r="P21" s="25">
        <v>250</v>
      </c>
      <c r="Q21" s="25">
        <v>535</v>
      </c>
      <c r="R21" s="25">
        <v>336</v>
      </c>
      <c r="S21" s="25">
        <v>539</v>
      </c>
      <c r="T21" s="25">
        <v>510</v>
      </c>
      <c r="U21" s="25">
        <v>339</v>
      </c>
      <c r="V21" s="25">
        <v>310</v>
      </c>
      <c r="W21" s="25" t="s">
        <v>0</v>
      </c>
      <c r="X21" s="25">
        <v>2</v>
      </c>
      <c r="Y21" s="25" t="s">
        <v>1274</v>
      </c>
    </row>
    <row r="22" spans="2:25">
      <c r="N22" s="25">
        <v>600</v>
      </c>
      <c r="O22" s="25">
        <v>600</v>
      </c>
      <c r="P22" s="25">
        <v>250</v>
      </c>
      <c r="Q22" s="25">
        <v>535</v>
      </c>
      <c r="R22" s="25">
        <v>536</v>
      </c>
      <c r="S22" s="25">
        <v>539</v>
      </c>
      <c r="T22" s="25">
        <v>510</v>
      </c>
      <c r="U22" s="25">
        <v>539</v>
      </c>
      <c r="V22" s="25">
        <v>510</v>
      </c>
      <c r="W22" s="25" t="s">
        <v>0</v>
      </c>
      <c r="X22" s="25">
        <v>2</v>
      </c>
      <c r="Y22" s="25" t="s">
        <v>1275</v>
      </c>
    </row>
    <row r="23" spans="2:25">
      <c r="B23" t="s">
        <v>992</v>
      </c>
      <c r="D23">
        <v>1260500</v>
      </c>
      <c r="E23" t="s">
        <v>960</v>
      </c>
      <c r="F23" t="s">
        <v>954</v>
      </c>
      <c r="G23" t="s">
        <v>949</v>
      </c>
      <c r="H23" t="s">
        <v>993</v>
      </c>
      <c r="I23" t="s">
        <v>994</v>
      </c>
      <c r="N23" s="25">
        <v>600</v>
      </c>
      <c r="O23" s="25">
        <v>400</v>
      </c>
      <c r="P23" s="25">
        <v>400</v>
      </c>
      <c r="Q23" s="25">
        <v>535</v>
      </c>
      <c r="R23" s="25">
        <v>336</v>
      </c>
      <c r="S23" s="25">
        <v>539</v>
      </c>
      <c r="T23" s="25">
        <v>510</v>
      </c>
      <c r="U23" s="25">
        <v>339</v>
      </c>
      <c r="V23" s="25">
        <v>310</v>
      </c>
      <c r="W23" s="25" t="s">
        <v>0</v>
      </c>
      <c r="X23" s="25">
        <v>2</v>
      </c>
      <c r="Y23" s="25" t="s">
        <v>1276</v>
      </c>
    </row>
    <row r="24" spans="2:25">
      <c r="N24" s="25">
        <v>600</v>
      </c>
      <c r="O24" s="25">
        <v>600</v>
      </c>
      <c r="P24" s="25">
        <v>400</v>
      </c>
      <c r="Q24" s="25">
        <v>535</v>
      </c>
      <c r="R24" s="25">
        <v>536</v>
      </c>
      <c r="S24" s="25">
        <v>539</v>
      </c>
      <c r="T24" s="25">
        <v>510</v>
      </c>
      <c r="U24" s="25">
        <v>539</v>
      </c>
      <c r="V24" s="25">
        <v>510</v>
      </c>
      <c r="W24" s="25" t="s">
        <v>0</v>
      </c>
      <c r="X24" s="25">
        <v>2</v>
      </c>
      <c r="Y24" s="25" t="s">
        <v>1277</v>
      </c>
    </row>
    <row r="25" spans="2:25">
      <c r="B25" t="s">
        <v>995</v>
      </c>
      <c r="D25">
        <v>1039500</v>
      </c>
      <c r="E25" t="s">
        <v>960</v>
      </c>
      <c r="F25" t="s">
        <v>954</v>
      </c>
      <c r="G25" t="s">
        <v>949</v>
      </c>
      <c r="H25" t="s">
        <v>996</v>
      </c>
      <c r="I25" t="s">
        <v>997</v>
      </c>
      <c r="N25" s="25">
        <v>700</v>
      </c>
      <c r="O25" s="25">
        <v>500</v>
      </c>
      <c r="P25" s="25">
        <v>200</v>
      </c>
      <c r="Q25" s="25">
        <v>635</v>
      </c>
      <c r="R25" s="25">
        <v>436</v>
      </c>
      <c r="S25" s="25">
        <v>639</v>
      </c>
      <c r="T25" s="25">
        <v>610</v>
      </c>
      <c r="U25" s="25">
        <v>439</v>
      </c>
      <c r="V25" s="25">
        <v>410</v>
      </c>
      <c r="W25" s="25" t="s">
        <v>0</v>
      </c>
      <c r="X25" s="25">
        <v>2</v>
      </c>
      <c r="Y25" s="25" t="s">
        <v>1278</v>
      </c>
    </row>
    <row r="26" spans="2:25">
      <c r="N26" s="25">
        <v>700</v>
      </c>
      <c r="O26" s="25">
        <v>500</v>
      </c>
      <c r="P26" s="25">
        <v>250</v>
      </c>
      <c r="Q26" s="25">
        <v>635</v>
      </c>
      <c r="R26" s="25">
        <v>436</v>
      </c>
      <c r="S26" s="25">
        <v>639</v>
      </c>
      <c r="T26" s="25">
        <v>610</v>
      </c>
      <c r="U26" s="25">
        <v>439</v>
      </c>
      <c r="V26" s="25">
        <v>410</v>
      </c>
      <c r="W26" s="25" t="s">
        <v>0</v>
      </c>
      <c r="X26" s="25">
        <v>2</v>
      </c>
      <c r="Y26" s="25" t="s">
        <v>1279</v>
      </c>
    </row>
    <row r="27" spans="2:25">
      <c r="B27" t="s">
        <v>998</v>
      </c>
      <c r="D27">
        <v>2449000</v>
      </c>
      <c r="E27" t="s">
        <v>960</v>
      </c>
      <c r="F27" t="s">
        <v>954</v>
      </c>
      <c r="G27" t="s">
        <v>949</v>
      </c>
      <c r="H27" t="s">
        <v>999</v>
      </c>
      <c r="I27" t="s">
        <v>1000</v>
      </c>
      <c r="N27" s="25">
        <v>800</v>
      </c>
      <c r="O27" s="25">
        <v>600</v>
      </c>
      <c r="P27" s="25">
        <v>200</v>
      </c>
      <c r="Q27" s="25">
        <v>735</v>
      </c>
      <c r="R27" s="25">
        <v>536</v>
      </c>
      <c r="S27" s="25">
        <v>739</v>
      </c>
      <c r="T27" s="25">
        <v>710</v>
      </c>
      <c r="U27" s="25">
        <v>539</v>
      </c>
      <c r="V27" s="25">
        <v>510</v>
      </c>
      <c r="W27" s="25" t="s">
        <v>0</v>
      </c>
      <c r="X27" s="25">
        <v>2</v>
      </c>
      <c r="Y27" s="25" t="s">
        <v>1280</v>
      </c>
    </row>
    <row r="28" spans="2:25">
      <c r="N28" s="25">
        <v>800</v>
      </c>
      <c r="O28" s="25">
        <v>800</v>
      </c>
      <c r="P28" s="25">
        <v>200</v>
      </c>
      <c r="Q28" s="25">
        <v>735</v>
      </c>
      <c r="R28" s="25">
        <v>736</v>
      </c>
      <c r="S28" s="25">
        <v>739</v>
      </c>
      <c r="T28" s="25">
        <v>710</v>
      </c>
      <c r="U28" s="25">
        <v>739</v>
      </c>
      <c r="V28" s="25">
        <v>710</v>
      </c>
      <c r="W28" s="25" t="s">
        <v>0</v>
      </c>
      <c r="X28" s="25">
        <v>2</v>
      </c>
      <c r="Y28" s="25" t="s">
        <v>1281</v>
      </c>
    </row>
    <row r="29" spans="2:25">
      <c r="B29" t="s">
        <v>1001</v>
      </c>
      <c r="D29">
        <v>1019600</v>
      </c>
      <c r="E29" t="s">
        <v>960</v>
      </c>
      <c r="F29">
        <v>1</v>
      </c>
      <c r="G29" t="s">
        <v>949</v>
      </c>
      <c r="H29" t="s">
        <v>1002</v>
      </c>
      <c r="I29" t="s">
        <v>1003</v>
      </c>
      <c r="N29" s="25">
        <v>800</v>
      </c>
      <c r="O29" s="25">
        <v>600</v>
      </c>
      <c r="P29" s="25">
        <v>250</v>
      </c>
      <c r="Q29" s="25">
        <v>735</v>
      </c>
      <c r="R29" s="25">
        <v>536</v>
      </c>
      <c r="S29" s="25">
        <v>739</v>
      </c>
      <c r="T29" s="25">
        <v>710</v>
      </c>
      <c r="U29" s="25">
        <v>539</v>
      </c>
      <c r="V29" s="25">
        <v>510</v>
      </c>
      <c r="W29" s="25" t="s">
        <v>0</v>
      </c>
      <c r="X29" s="25">
        <v>2</v>
      </c>
      <c r="Y29" s="25" t="s">
        <v>1282</v>
      </c>
    </row>
    <row r="30" spans="2:25">
      <c r="N30" s="25">
        <v>800</v>
      </c>
      <c r="O30" s="25">
        <v>600</v>
      </c>
      <c r="P30" s="25">
        <v>300</v>
      </c>
      <c r="Q30" s="25">
        <v>735</v>
      </c>
      <c r="R30" s="25">
        <v>536</v>
      </c>
      <c r="S30" s="25">
        <v>739</v>
      </c>
      <c r="T30" s="25">
        <v>710</v>
      </c>
      <c r="U30" s="25">
        <v>539</v>
      </c>
      <c r="V30" s="25">
        <v>510</v>
      </c>
      <c r="W30" s="25" t="s">
        <v>0</v>
      </c>
      <c r="X30" s="25">
        <v>2</v>
      </c>
      <c r="Y30" s="25" t="s">
        <v>1283</v>
      </c>
    </row>
    <row r="31" spans="2:25">
      <c r="B31" t="s">
        <v>1001</v>
      </c>
      <c r="D31">
        <v>1019600</v>
      </c>
      <c r="E31" t="s">
        <v>960</v>
      </c>
      <c r="F31">
        <v>1</v>
      </c>
      <c r="G31" t="s">
        <v>949</v>
      </c>
      <c r="H31" t="s">
        <v>1004</v>
      </c>
      <c r="I31" t="s">
        <v>1003</v>
      </c>
      <c r="N31" s="25">
        <v>800</v>
      </c>
      <c r="O31" s="25">
        <v>800</v>
      </c>
      <c r="P31" s="25">
        <v>300</v>
      </c>
      <c r="Q31" s="25">
        <v>735</v>
      </c>
      <c r="R31" s="25">
        <v>736</v>
      </c>
      <c r="S31" s="25">
        <v>739</v>
      </c>
      <c r="T31" s="25">
        <v>710</v>
      </c>
      <c r="U31" s="25">
        <v>739</v>
      </c>
      <c r="V31" s="25">
        <v>710</v>
      </c>
      <c r="W31" s="25" t="s">
        <v>0</v>
      </c>
      <c r="X31" s="25">
        <v>2</v>
      </c>
      <c r="Y31" s="25" t="s">
        <v>1284</v>
      </c>
    </row>
    <row r="32" spans="2:25">
      <c r="N32" s="25">
        <v>800</v>
      </c>
      <c r="O32" s="25">
        <v>600</v>
      </c>
      <c r="P32" s="25">
        <v>400</v>
      </c>
      <c r="Q32" s="25">
        <v>735</v>
      </c>
      <c r="R32" s="25">
        <v>536</v>
      </c>
      <c r="S32" s="25">
        <v>739</v>
      </c>
      <c r="T32" s="25">
        <v>710</v>
      </c>
      <c r="U32" s="25">
        <v>539</v>
      </c>
      <c r="V32" s="25">
        <v>510</v>
      </c>
      <c r="W32" s="25" t="s">
        <v>0</v>
      </c>
      <c r="X32" s="25">
        <v>2</v>
      </c>
      <c r="Y32" s="25" t="s">
        <v>1285</v>
      </c>
    </row>
    <row r="33" spans="2:25">
      <c r="B33" t="s">
        <v>1005</v>
      </c>
      <c r="D33">
        <v>1035500</v>
      </c>
      <c r="E33" t="s">
        <v>960</v>
      </c>
      <c r="F33" t="s">
        <v>950</v>
      </c>
      <c r="G33" t="s">
        <v>950</v>
      </c>
      <c r="H33" t="s">
        <v>943</v>
      </c>
      <c r="I33" t="s">
        <v>944</v>
      </c>
      <c r="N33" s="25">
        <v>800</v>
      </c>
      <c r="O33" s="25">
        <v>800</v>
      </c>
      <c r="P33" s="25">
        <v>400</v>
      </c>
      <c r="Q33" s="25">
        <v>735</v>
      </c>
      <c r="R33" s="25">
        <v>736</v>
      </c>
      <c r="S33" s="25">
        <v>739</v>
      </c>
      <c r="T33" s="25">
        <v>710</v>
      </c>
      <c r="U33" s="25">
        <v>739</v>
      </c>
      <c r="V33" s="25">
        <v>710</v>
      </c>
      <c r="W33" s="25" t="s">
        <v>0</v>
      </c>
      <c r="X33" s="25">
        <v>2</v>
      </c>
      <c r="Y33" s="25" t="s">
        <v>1286</v>
      </c>
    </row>
    <row r="34" spans="2:25">
      <c r="N34" s="25">
        <v>1000</v>
      </c>
      <c r="O34" s="25">
        <v>600</v>
      </c>
      <c r="P34" s="25">
        <v>250</v>
      </c>
      <c r="Q34" s="25">
        <v>935</v>
      </c>
      <c r="R34" s="25">
        <v>536</v>
      </c>
      <c r="S34" s="25">
        <v>939</v>
      </c>
      <c r="T34" s="25">
        <v>910</v>
      </c>
      <c r="U34" s="25">
        <v>539</v>
      </c>
      <c r="V34" s="25">
        <v>510</v>
      </c>
      <c r="W34" s="25" t="s">
        <v>33</v>
      </c>
      <c r="X34" s="25">
        <v>2</v>
      </c>
      <c r="Y34" s="25" t="s">
        <v>1287</v>
      </c>
    </row>
    <row r="35" spans="2:25">
      <c r="B35" t="s">
        <v>1006</v>
      </c>
      <c r="D35">
        <v>1350500</v>
      </c>
      <c r="E35" t="s">
        <v>960</v>
      </c>
      <c r="F35" t="s">
        <v>950</v>
      </c>
      <c r="G35" t="s">
        <v>950</v>
      </c>
      <c r="H35" t="s">
        <v>1007</v>
      </c>
      <c r="I35" t="s">
        <v>1008</v>
      </c>
      <c r="N35" s="25">
        <v>1000</v>
      </c>
      <c r="O35" s="25">
        <v>600</v>
      </c>
      <c r="P35" s="25">
        <v>300</v>
      </c>
      <c r="Q35" s="25">
        <v>935</v>
      </c>
      <c r="R35" s="25">
        <v>536</v>
      </c>
      <c r="S35" s="25">
        <v>939</v>
      </c>
      <c r="T35" s="25">
        <v>910</v>
      </c>
      <c r="U35" s="25">
        <v>539</v>
      </c>
      <c r="V35" s="25">
        <v>510</v>
      </c>
      <c r="W35" s="25" t="s">
        <v>33</v>
      </c>
      <c r="X35" s="25">
        <v>2</v>
      </c>
      <c r="Y35" s="25" t="s">
        <v>1288</v>
      </c>
    </row>
    <row r="36" spans="2:25">
      <c r="N36" s="25">
        <v>1000</v>
      </c>
      <c r="O36" s="25">
        <v>800</v>
      </c>
      <c r="P36" s="25">
        <v>300</v>
      </c>
      <c r="Q36" s="25">
        <v>935</v>
      </c>
      <c r="R36" s="25">
        <v>736</v>
      </c>
      <c r="S36" s="25">
        <v>939</v>
      </c>
      <c r="T36" s="25">
        <v>910</v>
      </c>
      <c r="U36" s="25">
        <v>739</v>
      </c>
      <c r="V36" s="25">
        <v>710</v>
      </c>
      <c r="W36" s="25" t="s">
        <v>33</v>
      </c>
      <c r="X36" s="25">
        <v>2</v>
      </c>
      <c r="Y36" s="25" t="s">
        <v>1289</v>
      </c>
    </row>
    <row r="37" spans="2:25">
      <c r="B37" t="s">
        <v>1009</v>
      </c>
      <c r="D37">
        <v>5122500</v>
      </c>
      <c r="E37" t="s">
        <v>1010</v>
      </c>
      <c r="F37" t="s">
        <v>950</v>
      </c>
      <c r="G37" t="s">
        <v>950</v>
      </c>
      <c r="H37" t="s">
        <v>1011</v>
      </c>
      <c r="I37" t="s">
        <v>1012</v>
      </c>
      <c r="N37" s="25">
        <v>1000</v>
      </c>
      <c r="O37" s="25">
        <v>600</v>
      </c>
      <c r="P37" s="25">
        <v>400</v>
      </c>
      <c r="Q37" s="25">
        <v>935</v>
      </c>
      <c r="R37" s="25">
        <v>536</v>
      </c>
      <c r="S37" s="25">
        <v>939</v>
      </c>
      <c r="T37" s="25">
        <v>910</v>
      </c>
      <c r="U37" s="25">
        <v>539</v>
      </c>
      <c r="V37" s="25">
        <v>510</v>
      </c>
      <c r="W37" s="25" t="s">
        <v>33</v>
      </c>
      <c r="X37" s="25">
        <v>2</v>
      </c>
      <c r="Y37" s="25" t="s">
        <v>1290</v>
      </c>
    </row>
    <row r="38" spans="2:25">
      <c r="N38" s="25">
        <v>1000</v>
      </c>
      <c r="O38" s="25">
        <v>800</v>
      </c>
      <c r="P38" s="25">
        <v>400</v>
      </c>
      <c r="Q38" s="25">
        <v>935</v>
      </c>
      <c r="R38" s="25">
        <v>736</v>
      </c>
      <c r="S38" s="25">
        <v>939</v>
      </c>
      <c r="T38" s="25">
        <v>910</v>
      </c>
      <c r="U38" s="25">
        <v>739</v>
      </c>
      <c r="V38" s="25">
        <v>710</v>
      </c>
      <c r="W38" s="25" t="s">
        <v>33</v>
      </c>
      <c r="X38" s="25">
        <v>2</v>
      </c>
      <c r="Y38" s="25" t="s">
        <v>1291</v>
      </c>
    </row>
    <row r="39" spans="2:25">
      <c r="B39" t="s">
        <v>1013</v>
      </c>
      <c r="D39">
        <v>1033500</v>
      </c>
      <c r="E39" t="s">
        <v>960</v>
      </c>
      <c r="F39" t="s">
        <v>950</v>
      </c>
      <c r="G39" t="s">
        <v>950</v>
      </c>
      <c r="H39" t="s">
        <v>1014</v>
      </c>
      <c r="I39" t="s">
        <v>1015</v>
      </c>
      <c r="N39" s="25">
        <v>1200</v>
      </c>
      <c r="O39" s="25">
        <v>600</v>
      </c>
      <c r="P39" s="25">
        <v>200</v>
      </c>
      <c r="Q39" s="25">
        <v>1135</v>
      </c>
      <c r="R39" s="25">
        <v>536</v>
      </c>
      <c r="S39" s="25">
        <v>1139</v>
      </c>
      <c r="T39" s="25">
        <v>1110</v>
      </c>
      <c r="U39" s="25">
        <v>539</v>
      </c>
      <c r="V39" s="25">
        <v>510</v>
      </c>
      <c r="W39" s="25" t="s">
        <v>33</v>
      </c>
      <c r="X39" s="25">
        <v>2</v>
      </c>
      <c r="Y39" s="25" t="s">
        <v>1292</v>
      </c>
    </row>
    <row r="40" spans="2:25">
      <c r="N40" s="25">
        <v>1200</v>
      </c>
      <c r="O40" s="25">
        <v>600</v>
      </c>
      <c r="P40" s="25">
        <v>300</v>
      </c>
      <c r="Q40" s="25">
        <v>1135</v>
      </c>
      <c r="R40" s="25">
        <v>536</v>
      </c>
      <c r="S40" s="25">
        <v>1139</v>
      </c>
      <c r="T40" s="25">
        <v>1110</v>
      </c>
      <c r="U40" s="25">
        <v>539</v>
      </c>
      <c r="V40" s="25">
        <v>510</v>
      </c>
      <c r="W40" s="25" t="s">
        <v>33</v>
      </c>
      <c r="X40" s="25">
        <v>2</v>
      </c>
      <c r="Y40" s="25" t="s">
        <v>1293</v>
      </c>
    </row>
    <row r="41" spans="2:25">
      <c r="B41" t="s">
        <v>1016</v>
      </c>
      <c r="D41">
        <v>1338500</v>
      </c>
      <c r="E41" t="s">
        <v>960</v>
      </c>
      <c r="F41" t="s">
        <v>950</v>
      </c>
      <c r="G41" t="s">
        <v>950</v>
      </c>
      <c r="H41" t="s">
        <v>1017</v>
      </c>
      <c r="I41" t="s">
        <v>1018</v>
      </c>
      <c r="N41" s="25">
        <v>1200</v>
      </c>
      <c r="O41" s="25">
        <v>800</v>
      </c>
      <c r="P41" s="25">
        <v>300</v>
      </c>
      <c r="Q41" s="25">
        <v>1135</v>
      </c>
      <c r="R41" s="25">
        <v>736</v>
      </c>
      <c r="S41" s="25">
        <v>1139</v>
      </c>
      <c r="T41" s="25">
        <v>1110</v>
      </c>
      <c r="U41" s="25">
        <v>739</v>
      </c>
      <c r="V41" s="25">
        <v>710</v>
      </c>
      <c r="W41" s="25" t="s">
        <v>33</v>
      </c>
      <c r="X41" s="25">
        <v>2</v>
      </c>
      <c r="Y41" s="25" t="s">
        <v>1294</v>
      </c>
    </row>
    <row r="42" spans="2:25">
      <c r="N42" s="25">
        <v>1200</v>
      </c>
      <c r="O42" s="25">
        <v>600</v>
      </c>
      <c r="P42" s="25">
        <v>400</v>
      </c>
      <c r="Q42" s="25">
        <v>1135</v>
      </c>
      <c r="R42" s="25">
        <v>536</v>
      </c>
      <c r="S42" s="25">
        <v>1139</v>
      </c>
      <c r="T42" s="25">
        <v>1110</v>
      </c>
      <c r="U42" s="25">
        <v>539</v>
      </c>
      <c r="V42" s="25">
        <v>510</v>
      </c>
      <c r="W42" s="25" t="s">
        <v>33</v>
      </c>
      <c r="X42" s="25">
        <v>2</v>
      </c>
      <c r="Y42" s="25" t="s">
        <v>1295</v>
      </c>
    </row>
    <row r="43" spans="2:25">
      <c r="B43" t="s">
        <v>1019</v>
      </c>
      <c r="D43">
        <v>1050500</v>
      </c>
      <c r="E43" t="s">
        <v>960</v>
      </c>
      <c r="F43" t="s">
        <v>950</v>
      </c>
      <c r="G43" t="s">
        <v>950</v>
      </c>
      <c r="H43" t="s">
        <v>1020</v>
      </c>
      <c r="I43" t="s">
        <v>1021</v>
      </c>
      <c r="N43" s="25">
        <v>1200</v>
      </c>
      <c r="O43" s="25">
        <v>800</v>
      </c>
      <c r="P43" s="25">
        <v>400</v>
      </c>
      <c r="Q43" s="25">
        <v>1135</v>
      </c>
      <c r="R43" s="25">
        <v>736</v>
      </c>
      <c r="S43" s="25">
        <v>1139</v>
      </c>
      <c r="T43" s="25">
        <v>1110</v>
      </c>
      <c r="U43" s="25">
        <v>739</v>
      </c>
      <c r="V43" s="25">
        <v>710</v>
      </c>
      <c r="W43" s="25" t="s">
        <v>33</v>
      </c>
      <c r="X43" s="25">
        <v>2</v>
      </c>
      <c r="Y43" s="25" t="s">
        <v>1296</v>
      </c>
    </row>
    <row r="44" spans="2:25">
      <c r="N44" s="25">
        <v>1400</v>
      </c>
      <c r="O44" s="25">
        <v>600</v>
      </c>
      <c r="P44" s="25">
        <v>300</v>
      </c>
      <c r="Q44" s="25">
        <v>1335</v>
      </c>
      <c r="R44" s="25">
        <v>536</v>
      </c>
      <c r="S44" s="25">
        <v>1339</v>
      </c>
      <c r="T44" s="25">
        <v>1310</v>
      </c>
      <c r="U44" s="25">
        <v>539</v>
      </c>
      <c r="V44" s="25">
        <v>510</v>
      </c>
      <c r="W44" s="25" t="s">
        <v>33</v>
      </c>
      <c r="X44" s="25">
        <v>2</v>
      </c>
      <c r="Y44" s="25" t="s">
        <v>1297</v>
      </c>
    </row>
    <row r="45" spans="2:25">
      <c r="B45" t="s">
        <v>1022</v>
      </c>
      <c r="D45">
        <v>1076500</v>
      </c>
      <c r="E45" t="s">
        <v>960</v>
      </c>
      <c r="F45" t="s">
        <v>950</v>
      </c>
      <c r="G45" t="s">
        <v>950</v>
      </c>
      <c r="H45" t="s">
        <v>1023</v>
      </c>
      <c r="I45" t="s">
        <v>1024</v>
      </c>
      <c r="N45" s="25">
        <v>1400</v>
      </c>
      <c r="O45" s="25">
        <v>800</v>
      </c>
      <c r="P45" s="25">
        <v>300</v>
      </c>
      <c r="Q45" s="25">
        <v>1335</v>
      </c>
      <c r="R45" s="25">
        <v>736</v>
      </c>
      <c r="S45" s="25">
        <v>1339</v>
      </c>
      <c r="T45" s="25">
        <v>1310</v>
      </c>
      <c r="U45" s="25">
        <v>739</v>
      </c>
      <c r="V45" s="25">
        <v>710</v>
      </c>
      <c r="W45" s="25" t="s">
        <v>33</v>
      </c>
      <c r="X45" s="25">
        <v>2</v>
      </c>
      <c r="Y45" s="25" t="s">
        <v>1298</v>
      </c>
    </row>
    <row r="47" spans="2:25">
      <c r="B47" t="s">
        <v>1025</v>
      </c>
      <c r="D47">
        <v>1037500</v>
      </c>
      <c r="E47" t="s">
        <v>960</v>
      </c>
      <c r="F47" t="s">
        <v>950</v>
      </c>
      <c r="G47" t="s">
        <v>950</v>
      </c>
      <c r="H47" t="s">
        <v>1026</v>
      </c>
      <c r="I47" t="s">
        <v>1027</v>
      </c>
    </row>
    <row r="49" spans="2:9">
      <c r="B49" t="s">
        <v>1028</v>
      </c>
      <c r="D49">
        <v>1280500</v>
      </c>
      <c r="E49" t="s">
        <v>960</v>
      </c>
      <c r="F49" t="s">
        <v>950</v>
      </c>
      <c r="G49" t="s">
        <v>950</v>
      </c>
      <c r="H49" t="s">
        <v>1029</v>
      </c>
      <c r="I49" t="s">
        <v>1030</v>
      </c>
    </row>
    <row r="51" spans="2:9">
      <c r="B51" t="s">
        <v>1031</v>
      </c>
      <c r="D51">
        <v>1036500</v>
      </c>
      <c r="E51" t="s">
        <v>960</v>
      </c>
      <c r="F51" t="s">
        <v>950</v>
      </c>
      <c r="G51" t="s">
        <v>950</v>
      </c>
      <c r="H51" t="s">
        <v>945</v>
      </c>
      <c r="I51" t="s">
        <v>946</v>
      </c>
    </row>
    <row r="53" spans="2:9">
      <c r="B53" t="s">
        <v>1032</v>
      </c>
      <c r="D53">
        <v>1001600</v>
      </c>
      <c r="E53" t="s">
        <v>960</v>
      </c>
      <c r="F53" t="s">
        <v>950</v>
      </c>
      <c r="G53" t="s">
        <v>950</v>
      </c>
      <c r="H53" t="s">
        <v>1033</v>
      </c>
      <c r="I53" t="s">
        <v>1034</v>
      </c>
    </row>
    <row r="55" spans="2:9">
      <c r="B55" t="s">
        <v>1035</v>
      </c>
      <c r="D55">
        <v>1011600</v>
      </c>
      <c r="E55" t="s">
        <v>960</v>
      </c>
      <c r="F55" t="s">
        <v>950</v>
      </c>
      <c r="G55" t="s">
        <v>950</v>
      </c>
      <c r="H55" t="s">
        <v>1036</v>
      </c>
      <c r="I55" t="s">
        <v>1037</v>
      </c>
    </row>
    <row r="57" spans="2:9">
      <c r="B57" t="s">
        <v>1038</v>
      </c>
      <c r="D57">
        <v>5123500</v>
      </c>
      <c r="E57" t="s">
        <v>1010</v>
      </c>
      <c r="F57" t="s">
        <v>950</v>
      </c>
      <c r="G57" t="s">
        <v>950</v>
      </c>
      <c r="H57" t="s">
        <v>1039</v>
      </c>
      <c r="I57" t="s">
        <v>1040</v>
      </c>
    </row>
    <row r="59" spans="2:9">
      <c r="B59" t="s">
        <v>1041</v>
      </c>
      <c r="D59">
        <v>1376500</v>
      </c>
      <c r="E59" t="s">
        <v>960</v>
      </c>
      <c r="F59" t="s">
        <v>950</v>
      </c>
      <c r="G59" t="s">
        <v>950</v>
      </c>
      <c r="H59" t="s">
        <v>1042</v>
      </c>
      <c r="I59" t="s">
        <v>1043</v>
      </c>
    </row>
    <row r="61" spans="2:9">
      <c r="B61" t="s">
        <v>1044</v>
      </c>
      <c r="D61">
        <v>1073500</v>
      </c>
      <c r="E61" t="s">
        <v>960</v>
      </c>
      <c r="F61" t="s">
        <v>950</v>
      </c>
      <c r="G61" t="s">
        <v>950</v>
      </c>
      <c r="H61" t="s">
        <v>1045</v>
      </c>
      <c r="I61" t="s">
        <v>1046</v>
      </c>
    </row>
    <row r="63" spans="2:9">
      <c r="B63" t="s">
        <v>1047</v>
      </c>
      <c r="D63">
        <v>5117500</v>
      </c>
      <c r="E63" t="s">
        <v>1010</v>
      </c>
      <c r="F63" t="s">
        <v>950</v>
      </c>
      <c r="G63" t="s">
        <v>950</v>
      </c>
      <c r="H63" t="s">
        <v>1048</v>
      </c>
      <c r="I63" t="s">
        <v>1049</v>
      </c>
    </row>
    <row r="65" spans="2:9">
      <c r="B65" t="s">
        <v>1050</v>
      </c>
      <c r="D65">
        <v>1054500</v>
      </c>
      <c r="E65" t="s">
        <v>960</v>
      </c>
      <c r="F65" t="s">
        <v>950</v>
      </c>
      <c r="G65" t="s">
        <v>950</v>
      </c>
      <c r="H65" t="s">
        <v>1051</v>
      </c>
      <c r="I65" t="s">
        <v>1052</v>
      </c>
    </row>
    <row r="67" spans="2:9">
      <c r="B67" t="s">
        <v>1053</v>
      </c>
      <c r="D67">
        <v>1014600</v>
      </c>
      <c r="E67" t="s">
        <v>960</v>
      </c>
      <c r="F67" t="s">
        <v>950</v>
      </c>
      <c r="G67" t="s">
        <v>950</v>
      </c>
      <c r="H67" t="s">
        <v>1054</v>
      </c>
      <c r="I67" t="s">
        <v>1055</v>
      </c>
    </row>
    <row r="69" spans="2:9">
      <c r="B69" t="s">
        <v>1056</v>
      </c>
      <c r="D69">
        <v>1016600</v>
      </c>
      <c r="E69" t="s">
        <v>960</v>
      </c>
      <c r="F69" t="s">
        <v>950</v>
      </c>
      <c r="G69" t="s">
        <v>950</v>
      </c>
      <c r="H69" t="s">
        <v>1057</v>
      </c>
      <c r="I69" t="s">
        <v>1058</v>
      </c>
    </row>
    <row r="71" spans="2:9">
      <c r="B71" t="s">
        <v>1059</v>
      </c>
      <c r="D71">
        <v>5110500</v>
      </c>
      <c r="E71" t="s">
        <v>1010</v>
      </c>
      <c r="F71" t="s">
        <v>950</v>
      </c>
      <c r="G71" t="s">
        <v>950</v>
      </c>
      <c r="H71" t="s">
        <v>1060</v>
      </c>
      <c r="I71" t="s">
        <v>1061</v>
      </c>
    </row>
    <row r="73" spans="2:9">
      <c r="B73" t="s">
        <v>1062</v>
      </c>
      <c r="D73">
        <v>1005600</v>
      </c>
      <c r="E73" t="s">
        <v>960</v>
      </c>
      <c r="F73" t="s">
        <v>950</v>
      </c>
      <c r="G73" t="s">
        <v>950</v>
      </c>
      <c r="H73" t="s">
        <v>1063</v>
      </c>
      <c r="I73" t="s">
        <v>1064</v>
      </c>
    </row>
    <row r="75" spans="2:9">
      <c r="B75" t="s">
        <v>1065</v>
      </c>
      <c r="D75">
        <v>5112500</v>
      </c>
      <c r="E75" t="s">
        <v>1010</v>
      </c>
      <c r="F75" t="s">
        <v>950</v>
      </c>
      <c r="G75" t="s">
        <v>950</v>
      </c>
      <c r="H75" t="s">
        <v>1066</v>
      </c>
      <c r="I75" t="s">
        <v>1067</v>
      </c>
    </row>
    <row r="77" spans="2:9">
      <c r="B77" t="s">
        <v>1068</v>
      </c>
      <c r="D77">
        <v>5115500</v>
      </c>
      <c r="E77" t="s">
        <v>1010</v>
      </c>
      <c r="F77" t="s">
        <v>950</v>
      </c>
      <c r="G77" t="s">
        <v>950</v>
      </c>
      <c r="H77" t="s">
        <v>1069</v>
      </c>
      <c r="I77" t="s">
        <v>1070</v>
      </c>
    </row>
    <row r="79" spans="2:9">
      <c r="B79" t="s">
        <v>1071</v>
      </c>
      <c r="D79">
        <v>1077500</v>
      </c>
      <c r="E79" t="s">
        <v>960</v>
      </c>
      <c r="F79" t="s">
        <v>950</v>
      </c>
      <c r="G79" t="s">
        <v>950</v>
      </c>
      <c r="H79" t="s">
        <v>1072</v>
      </c>
      <c r="I79" t="s">
        <v>1073</v>
      </c>
    </row>
    <row r="81" spans="2:9">
      <c r="B81" t="s">
        <v>1074</v>
      </c>
      <c r="D81">
        <v>5111500</v>
      </c>
      <c r="E81" t="s">
        <v>1010</v>
      </c>
      <c r="F81" t="s">
        <v>950</v>
      </c>
      <c r="G81" t="s">
        <v>950</v>
      </c>
      <c r="H81" t="s">
        <v>1075</v>
      </c>
      <c r="I81" t="s">
        <v>1076</v>
      </c>
    </row>
    <row r="83" spans="2:9">
      <c r="B83" t="s">
        <v>1077</v>
      </c>
      <c r="D83">
        <v>1010600</v>
      </c>
      <c r="E83" t="s">
        <v>960</v>
      </c>
      <c r="F83" t="s">
        <v>950</v>
      </c>
      <c r="G83" t="s">
        <v>950</v>
      </c>
      <c r="H83" t="s">
        <v>1078</v>
      </c>
      <c r="I83" t="s">
        <v>1079</v>
      </c>
    </row>
    <row r="85" spans="2:9">
      <c r="B85" t="s">
        <v>1080</v>
      </c>
      <c r="D85">
        <v>1013600</v>
      </c>
      <c r="E85" t="s">
        <v>960</v>
      </c>
      <c r="F85" t="s">
        <v>950</v>
      </c>
      <c r="G85" t="s">
        <v>950</v>
      </c>
      <c r="H85" t="s">
        <v>1081</v>
      </c>
      <c r="I85" t="s">
        <v>1082</v>
      </c>
    </row>
    <row r="87" spans="2:9">
      <c r="B87" t="s">
        <v>1083</v>
      </c>
      <c r="D87">
        <v>1015600</v>
      </c>
      <c r="E87" t="s">
        <v>960</v>
      </c>
      <c r="F87" t="s">
        <v>950</v>
      </c>
      <c r="G87" t="s">
        <v>950</v>
      </c>
      <c r="H87" t="s">
        <v>1084</v>
      </c>
      <c r="I87" t="s">
        <v>1085</v>
      </c>
    </row>
    <row r="89" spans="2:9">
      <c r="B89" t="s">
        <v>1086</v>
      </c>
      <c r="D89">
        <v>1002600</v>
      </c>
      <c r="E89" t="s">
        <v>960</v>
      </c>
      <c r="F89" t="s">
        <v>950</v>
      </c>
      <c r="G89" t="s">
        <v>950</v>
      </c>
      <c r="H89" t="s">
        <v>1087</v>
      </c>
      <c r="I89" t="s">
        <v>1088</v>
      </c>
    </row>
    <row r="91" spans="2:9">
      <c r="B91" t="s">
        <v>1089</v>
      </c>
      <c r="D91">
        <v>1110500</v>
      </c>
      <c r="E91" t="s">
        <v>960</v>
      </c>
      <c r="F91" t="s">
        <v>950</v>
      </c>
      <c r="G91" t="s">
        <v>950</v>
      </c>
      <c r="H91" t="s">
        <v>1090</v>
      </c>
      <c r="I91" t="s">
        <v>1091</v>
      </c>
    </row>
    <row r="93" spans="2:9">
      <c r="B93" t="s">
        <v>1092</v>
      </c>
      <c r="D93">
        <v>1114500</v>
      </c>
      <c r="E93" t="s">
        <v>960</v>
      </c>
      <c r="F93" t="s">
        <v>950</v>
      </c>
      <c r="G93" t="s">
        <v>950</v>
      </c>
      <c r="H93" t="s">
        <v>1093</v>
      </c>
      <c r="I93" t="s">
        <v>1094</v>
      </c>
    </row>
    <row r="95" spans="2:9">
      <c r="B95" t="s">
        <v>1095</v>
      </c>
      <c r="D95">
        <v>1030500</v>
      </c>
      <c r="E95" t="s">
        <v>960</v>
      </c>
      <c r="F95" t="s">
        <v>950</v>
      </c>
      <c r="G95" t="s">
        <v>950</v>
      </c>
      <c r="H95" t="s">
        <v>947</v>
      </c>
      <c r="I95" t="s">
        <v>948</v>
      </c>
    </row>
    <row r="97" spans="2:9">
      <c r="B97" t="s">
        <v>1096</v>
      </c>
      <c r="D97">
        <v>1213500</v>
      </c>
      <c r="E97" t="s">
        <v>960</v>
      </c>
      <c r="F97" t="s">
        <v>950</v>
      </c>
      <c r="G97" t="s">
        <v>950</v>
      </c>
      <c r="H97" t="s">
        <v>1097</v>
      </c>
      <c r="I97" t="s">
        <v>1098</v>
      </c>
    </row>
    <row r="99" spans="2:9">
      <c r="B99" t="s">
        <v>1099</v>
      </c>
      <c r="D99">
        <v>1032500</v>
      </c>
      <c r="E99" t="s">
        <v>960</v>
      </c>
      <c r="F99" t="s">
        <v>950</v>
      </c>
      <c r="G99" t="s">
        <v>950</v>
      </c>
      <c r="H99" t="s">
        <v>1100</v>
      </c>
      <c r="I99" t="s">
        <v>1101</v>
      </c>
    </row>
    <row r="101" spans="2:9">
      <c r="B101" t="s">
        <v>1102</v>
      </c>
      <c r="D101">
        <v>1360502</v>
      </c>
      <c r="E101" t="s">
        <v>960</v>
      </c>
      <c r="F101" t="s">
        <v>950</v>
      </c>
      <c r="G101" t="s">
        <v>950</v>
      </c>
      <c r="H101" t="s">
        <v>1103</v>
      </c>
      <c r="I101" t="s">
        <v>1104</v>
      </c>
    </row>
    <row r="103" spans="2:9">
      <c r="B103" t="s">
        <v>1105</v>
      </c>
      <c r="D103">
        <v>1213310</v>
      </c>
      <c r="E103" t="s">
        <v>960</v>
      </c>
      <c r="F103" t="s">
        <v>950</v>
      </c>
      <c r="G103" t="s">
        <v>950</v>
      </c>
      <c r="H103" t="s">
        <v>1106</v>
      </c>
      <c r="I103" t="s">
        <v>1107</v>
      </c>
    </row>
    <row r="105" spans="2:9">
      <c r="B105" t="s">
        <v>1108</v>
      </c>
      <c r="D105">
        <v>1114510</v>
      </c>
      <c r="E105" t="s">
        <v>960</v>
      </c>
      <c r="F105" t="s">
        <v>950</v>
      </c>
      <c r="G105" t="s">
        <v>950</v>
      </c>
      <c r="H105" t="s">
        <v>1109</v>
      </c>
      <c r="I105" t="s">
        <v>1110</v>
      </c>
    </row>
    <row r="107" spans="2:9">
      <c r="B107" t="s">
        <v>1111</v>
      </c>
      <c r="D107">
        <v>1100800</v>
      </c>
      <c r="E107" t="s">
        <v>960</v>
      </c>
      <c r="F107" t="s">
        <v>950</v>
      </c>
      <c r="G107" t="s">
        <v>950</v>
      </c>
      <c r="H107" t="s">
        <v>1112</v>
      </c>
      <c r="I107" t="s">
        <v>1113</v>
      </c>
    </row>
    <row r="109" spans="2:9">
      <c r="B109" t="s">
        <v>1114</v>
      </c>
      <c r="D109">
        <v>1031502</v>
      </c>
      <c r="E109" t="s">
        <v>960</v>
      </c>
      <c r="F109" t="s">
        <v>950</v>
      </c>
      <c r="G109" t="s">
        <v>950</v>
      </c>
      <c r="H109" t="s">
        <v>1115</v>
      </c>
      <c r="I109" t="s">
        <v>1116</v>
      </c>
    </row>
    <row r="111" spans="2:9">
      <c r="B111" t="s">
        <v>1117</v>
      </c>
      <c r="D111">
        <v>1380510</v>
      </c>
      <c r="E111" t="s">
        <v>960</v>
      </c>
      <c r="F111" t="s">
        <v>950</v>
      </c>
      <c r="G111" t="s">
        <v>950</v>
      </c>
      <c r="H111" t="s">
        <v>1118</v>
      </c>
      <c r="I111" t="s">
        <v>1119</v>
      </c>
    </row>
    <row r="113" spans="2:9">
      <c r="B113" t="s">
        <v>1120</v>
      </c>
      <c r="D113">
        <v>1039750</v>
      </c>
      <c r="E113" t="s">
        <v>960</v>
      </c>
      <c r="F113" t="s">
        <v>950</v>
      </c>
      <c r="G113" t="s">
        <v>950</v>
      </c>
      <c r="H113" t="s">
        <v>1121</v>
      </c>
    </row>
    <row r="115" spans="2:9">
      <c r="B115" t="s">
        <v>1122</v>
      </c>
      <c r="D115">
        <v>1060502</v>
      </c>
      <c r="E115" t="s">
        <v>960</v>
      </c>
      <c r="F115" t="s">
        <v>950</v>
      </c>
      <c r="G115" t="s">
        <v>950</v>
      </c>
      <c r="H115" t="s">
        <v>1123</v>
      </c>
      <c r="I115" t="s">
        <v>1124</v>
      </c>
    </row>
    <row r="117" spans="2:9">
      <c r="B117" t="s">
        <v>1125</v>
      </c>
      <c r="D117">
        <v>5110800</v>
      </c>
      <c r="E117" t="s">
        <v>1010</v>
      </c>
      <c r="F117" t="s">
        <v>950</v>
      </c>
      <c r="G117" t="s">
        <v>950</v>
      </c>
      <c r="H117" t="s">
        <v>1126</v>
      </c>
      <c r="I117" t="s">
        <v>1127</v>
      </c>
    </row>
    <row r="118" spans="2:9">
      <c r="B118" t="s">
        <v>1128</v>
      </c>
      <c r="D118">
        <v>5119500</v>
      </c>
      <c r="E118" t="s">
        <v>1010</v>
      </c>
      <c r="F118" t="s">
        <v>950</v>
      </c>
      <c r="G118" t="s">
        <v>950</v>
      </c>
      <c r="H118" t="s">
        <v>1129</v>
      </c>
      <c r="I118" t="s">
        <v>1130</v>
      </c>
    </row>
    <row r="120" spans="2:9">
      <c r="B120" t="s">
        <v>1131</v>
      </c>
      <c r="D120">
        <v>5123800</v>
      </c>
      <c r="E120" t="s">
        <v>1010</v>
      </c>
      <c r="F120" t="s">
        <v>950</v>
      </c>
      <c r="G120" t="s">
        <v>950</v>
      </c>
      <c r="H120" t="s">
        <v>1132</v>
      </c>
      <c r="I120" t="s">
        <v>1133</v>
      </c>
    </row>
    <row r="121" spans="2:9">
      <c r="B121" t="s">
        <v>1134</v>
      </c>
      <c r="D121">
        <v>1280510</v>
      </c>
      <c r="E121" t="s">
        <v>960</v>
      </c>
      <c r="F121" t="s">
        <v>950</v>
      </c>
      <c r="G121" t="s">
        <v>950</v>
      </c>
      <c r="H121" t="s">
        <v>1135</v>
      </c>
      <c r="I121" t="s">
        <v>1136</v>
      </c>
    </row>
    <row r="123" spans="2:9">
      <c r="B123" t="s">
        <v>1137</v>
      </c>
      <c r="D123">
        <v>1033800</v>
      </c>
      <c r="E123" t="s">
        <v>960</v>
      </c>
      <c r="F123" t="s">
        <v>950</v>
      </c>
      <c r="G123" t="s">
        <v>950</v>
      </c>
      <c r="H123" t="s">
        <v>1138</v>
      </c>
      <c r="I123" t="s">
        <v>1139</v>
      </c>
    </row>
    <row r="125" spans="2:9">
      <c r="B125" t="s">
        <v>1140</v>
      </c>
      <c r="D125">
        <v>1031800</v>
      </c>
      <c r="E125" t="s">
        <v>960</v>
      </c>
      <c r="F125" t="s">
        <v>950</v>
      </c>
      <c r="G125" t="s">
        <v>950</v>
      </c>
      <c r="H125" t="s">
        <v>1141</v>
      </c>
      <c r="I125" t="s">
        <v>1142</v>
      </c>
    </row>
    <row r="127" spans="2:9">
      <c r="B127" t="s">
        <v>1143</v>
      </c>
      <c r="D127">
        <v>1130510</v>
      </c>
      <c r="E127" t="s">
        <v>960</v>
      </c>
      <c r="F127" t="s">
        <v>950</v>
      </c>
      <c r="G127" t="s">
        <v>950</v>
      </c>
      <c r="H127" t="s">
        <v>1144</v>
      </c>
      <c r="I127" t="s">
        <v>1145</v>
      </c>
    </row>
    <row r="129" spans="2:9">
      <c r="B129" t="s">
        <v>1146</v>
      </c>
      <c r="D129">
        <v>1110800</v>
      </c>
      <c r="E129" t="s">
        <v>960</v>
      </c>
      <c r="F129" t="s">
        <v>950</v>
      </c>
      <c r="G129" t="s">
        <v>950</v>
      </c>
      <c r="H129" t="s">
        <v>1147</v>
      </c>
      <c r="I129" t="s">
        <v>1148</v>
      </c>
    </row>
    <row r="131" spans="2:9">
      <c r="B131" t="s">
        <v>1149</v>
      </c>
      <c r="D131">
        <v>1180502</v>
      </c>
      <c r="E131" t="s">
        <v>960</v>
      </c>
      <c r="F131" t="s">
        <v>950</v>
      </c>
      <c r="G131" t="s">
        <v>950</v>
      </c>
      <c r="H131" t="s">
        <v>1150</v>
      </c>
      <c r="I131" t="s">
        <v>1151</v>
      </c>
    </row>
    <row r="133" spans="2:9">
      <c r="B133" t="s">
        <v>1152</v>
      </c>
      <c r="D133">
        <v>1260800</v>
      </c>
      <c r="E133" t="s">
        <v>960</v>
      </c>
      <c r="F133" t="s">
        <v>950</v>
      </c>
      <c r="G133" t="s">
        <v>950</v>
      </c>
      <c r="H133" t="s">
        <v>1153</v>
      </c>
      <c r="I133" t="s">
        <v>1154</v>
      </c>
    </row>
    <row r="135" spans="2:9">
      <c r="B135" t="s">
        <v>1155</v>
      </c>
      <c r="D135">
        <v>1045510</v>
      </c>
      <c r="E135" t="s">
        <v>960</v>
      </c>
      <c r="F135" t="s">
        <v>950</v>
      </c>
      <c r="G135" t="s">
        <v>950</v>
      </c>
      <c r="H135" t="s">
        <v>1156</v>
      </c>
      <c r="I135" t="s">
        <v>1157</v>
      </c>
    </row>
    <row r="137" spans="2:9">
      <c r="B137" t="s">
        <v>1158</v>
      </c>
      <c r="D137">
        <v>1030502</v>
      </c>
      <c r="E137" t="s">
        <v>960</v>
      </c>
      <c r="F137" t="s">
        <v>950</v>
      </c>
      <c r="G137" t="s">
        <v>950</v>
      </c>
      <c r="H137" t="s">
        <v>1159</v>
      </c>
      <c r="I137" t="s">
        <v>1160</v>
      </c>
    </row>
    <row r="139" spans="2:9">
      <c r="B139" t="s">
        <v>1161</v>
      </c>
      <c r="D139">
        <v>4000485</v>
      </c>
      <c r="E139" t="s">
        <v>1162</v>
      </c>
      <c r="F139" t="s">
        <v>950</v>
      </c>
      <c r="G139" t="s">
        <v>950</v>
      </c>
      <c r="H139" t="s">
        <v>1121</v>
      </c>
    </row>
    <row r="140" spans="2:9">
      <c r="B140" t="s">
        <v>1163</v>
      </c>
      <c r="D140">
        <v>1057510</v>
      </c>
      <c r="E140" t="s">
        <v>960</v>
      </c>
      <c r="F140" t="s">
        <v>950</v>
      </c>
      <c r="G140" t="s">
        <v>950</v>
      </c>
      <c r="H140" t="s">
        <v>1164</v>
      </c>
      <c r="I140" t="s">
        <v>1165</v>
      </c>
    </row>
    <row r="142" spans="2:9">
      <c r="B142" t="s">
        <v>1166</v>
      </c>
      <c r="D142">
        <v>1180800</v>
      </c>
      <c r="E142" t="s">
        <v>960</v>
      </c>
      <c r="F142" t="s">
        <v>950</v>
      </c>
      <c r="G142" t="s">
        <v>950</v>
      </c>
      <c r="H142" t="s">
        <v>1167</v>
      </c>
      <c r="I142" t="s">
        <v>1168</v>
      </c>
    </row>
    <row r="144" spans="2:9">
      <c r="B144" t="s">
        <v>1169</v>
      </c>
      <c r="D144">
        <v>1009010</v>
      </c>
      <c r="E144" t="s">
        <v>960</v>
      </c>
      <c r="F144" t="s">
        <v>950</v>
      </c>
      <c r="G144" t="s">
        <v>950</v>
      </c>
      <c r="H144" t="s">
        <v>1121</v>
      </c>
    </row>
    <row r="146" spans="2:9">
      <c r="B146" t="s">
        <v>1170</v>
      </c>
      <c r="D146">
        <v>1339800</v>
      </c>
      <c r="E146" t="s">
        <v>960</v>
      </c>
      <c r="F146" t="s">
        <v>950</v>
      </c>
      <c r="G146" t="s">
        <v>950</v>
      </c>
      <c r="H146" t="s">
        <v>1171</v>
      </c>
      <c r="I146" t="s">
        <v>1172</v>
      </c>
    </row>
    <row r="148" spans="2:9">
      <c r="B148" t="s">
        <v>1173</v>
      </c>
      <c r="D148">
        <v>4000074</v>
      </c>
      <c r="E148" t="s">
        <v>1162</v>
      </c>
      <c r="F148" t="s">
        <v>950</v>
      </c>
      <c r="G148" t="s">
        <v>950</v>
      </c>
      <c r="H148" t="s">
        <v>1174</v>
      </c>
      <c r="I148" t="s">
        <v>1175</v>
      </c>
    </row>
    <row r="149" spans="2:9">
      <c r="B149" t="s">
        <v>1176</v>
      </c>
      <c r="D149">
        <v>1114800</v>
      </c>
      <c r="E149" t="s">
        <v>960</v>
      </c>
      <c r="F149" t="s">
        <v>950</v>
      </c>
      <c r="G149" t="s">
        <v>950</v>
      </c>
      <c r="H149" t="s">
        <v>1177</v>
      </c>
      <c r="I149" t="s">
        <v>1178</v>
      </c>
    </row>
    <row r="151" spans="2:9">
      <c r="B151" t="s">
        <v>1179</v>
      </c>
      <c r="D151">
        <v>1350502</v>
      </c>
      <c r="E151" t="s">
        <v>960</v>
      </c>
      <c r="F151" t="s">
        <v>950</v>
      </c>
      <c r="G151" t="s">
        <v>950</v>
      </c>
      <c r="H151" t="s">
        <v>1180</v>
      </c>
      <c r="I151" t="s">
        <v>1181</v>
      </c>
    </row>
    <row r="153" spans="2:9">
      <c r="B153" t="s">
        <v>1182</v>
      </c>
      <c r="D153">
        <v>1073510</v>
      </c>
      <c r="E153" t="s">
        <v>960</v>
      </c>
      <c r="F153" t="s">
        <v>950</v>
      </c>
      <c r="G153" t="s">
        <v>950</v>
      </c>
      <c r="H153" t="s">
        <v>1183</v>
      </c>
      <c r="I153" t="s">
        <v>1184</v>
      </c>
    </row>
    <row r="155" spans="2:9">
      <c r="B155" t="s">
        <v>1185</v>
      </c>
      <c r="D155">
        <v>1008010</v>
      </c>
      <c r="E155" t="s">
        <v>960</v>
      </c>
      <c r="F155" t="s">
        <v>950</v>
      </c>
      <c r="G155" t="s">
        <v>950</v>
      </c>
      <c r="H155" t="s">
        <v>1121</v>
      </c>
    </row>
    <row r="157" spans="2:9">
      <c r="B157" t="s">
        <v>1186</v>
      </c>
      <c r="D157">
        <v>1110510</v>
      </c>
      <c r="E157" t="s">
        <v>960</v>
      </c>
      <c r="F157" t="s">
        <v>950</v>
      </c>
      <c r="G157" t="s">
        <v>950</v>
      </c>
      <c r="H157" t="s">
        <v>1187</v>
      </c>
      <c r="I157" t="s">
        <v>1188</v>
      </c>
    </row>
    <row r="159" spans="2:9">
      <c r="B159" t="s">
        <v>1189</v>
      </c>
      <c r="D159">
        <v>1360310</v>
      </c>
      <c r="E159" t="s">
        <v>960</v>
      </c>
      <c r="F159" t="s">
        <v>950</v>
      </c>
      <c r="G159" t="s">
        <v>950</v>
      </c>
      <c r="H159" t="s">
        <v>1190</v>
      </c>
      <c r="I159" t="s">
        <v>1191</v>
      </c>
    </row>
    <row r="161" spans="2:9">
      <c r="B161" t="s">
        <v>1192</v>
      </c>
      <c r="D161">
        <v>1090510</v>
      </c>
      <c r="E161" t="s">
        <v>960</v>
      </c>
      <c r="F161" t="s">
        <v>950</v>
      </c>
      <c r="G161" t="s">
        <v>950</v>
      </c>
      <c r="H161" t="s">
        <v>1193</v>
      </c>
      <c r="I161" t="s">
        <v>1194</v>
      </c>
    </row>
    <row r="163" spans="2:9">
      <c r="B163" t="s">
        <v>1195</v>
      </c>
      <c r="D163">
        <v>1014010</v>
      </c>
      <c r="E163" t="s">
        <v>960</v>
      </c>
      <c r="F163" t="s">
        <v>950</v>
      </c>
      <c r="G163" t="s">
        <v>950</v>
      </c>
      <c r="H163" t="s">
        <v>1121</v>
      </c>
    </row>
    <row r="165" spans="2:9">
      <c r="B165" t="s">
        <v>1196</v>
      </c>
      <c r="D165">
        <v>5114500</v>
      </c>
      <c r="E165" t="s">
        <v>1010</v>
      </c>
      <c r="F165" t="s">
        <v>950</v>
      </c>
      <c r="G165" t="s">
        <v>950</v>
      </c>
      <c r="H165" t="s">
        <v>1197</v>
      </c>
      <c r="I165" t="s">
        <v>1198</v>
      </c>
    </row>
    <row r="167" spans="2:9">
      <c r="B167" t="s">
        <v>1199</v>
      </c>
      <c r="D167">
        <v>5118800</v>
      </c>
      <c r="E167" t="s">
        <v>1010</v>
      </c>
      <c r="F167" t="s">
        <v>950</v>
      </c>
      <c r="G167" t="s">
        <v>950</v>
      </c>
      <c r="H167" t="s">
        <v>1200</v>
      </c>
      <c r="I167" t="s">
        <v>1201</v>
      </c>
    </row>
    <row r="168" spans="2:9">
      <c r="B168" t="s">
        <v>1202</v>
      </c>
      <c r="D168">
        <v>1039512</v>
      </c>
      <c r="E168" t="s">
        <v>960</v>
      </c>
      <c r="F168" t="s">
        <v>950</v>
      </c>
      <c r="G168" t="s">
        <v>950</v>
      </c>
      <c r="H168" t="s">
        <v>1203</v>
      </c>
      <c r="I168" t="s">
        <v>1204</v>
      </c>
    </row>
    <row r="170" spans="2:9">
      <c r="B170" t="s">
        <v>1205</v>
      </c>
      <c r="D170">
        <v>5111800</v>
      </c>
      <c r="E170" t="s">
        <v>1010</v>
      </c>
      <c r="F170" t="s">
        <v>950</v>
      </c>
      <c r="G170" t="s">
        <v>950</v>
      </c>
      <c r="H170" t="s">
        <v>1206</v>
      </c>
      <c r="I170" t="s">
        <v>1207</v>
      </c>
    </row>
    <row r="171" spans="2:9">
      <c r="B171" t="s">
        <v>1208</v>
      </c>
      <c r="D171">
        <v>1050502</v>
      </c>
      <c r="E171" t="s">
        <v>960</v>
      </c>
      <c r="F171" t="s">
        <v>950</v>
      </c>
      <c r="G171" t="s">
        <v>950</v>
      </c>
      <c r="H171" t="s">
        <v>1209</v>
      </c>
      <c r="I171" t="s">
        <v>1210</v>
      </c>
    </row>
    <row r="173" spans="2:9">
      <c r="B173" t="s">
        <v>1211</v>
      </c>
      <c r="D173">
        <v>1035502</v>
      </c>
      <c r="E173" t="s">
        <v>960</v>
      </c>
      <c r="F173" t="s">
        <v>950</v>
      </c>
      <c r="G173" t="s">
        <v>950</v>
      </c>
      <c r="H173" t="s">
        <v>1212</v>
      </c>
      <c r="I173" t="s">
        <v>1213</v>
      </c>
    </row>
    <row r="175" spans="2:9">
      <c r="B175" t="s">
        <v>1214</v>
      </c>
      <c r="D175">
        <v>1376800</v>
      </c>
      <c r="E175" t="s">
        <v>960</v>
      </c>
      <c r="F175" t="s">
        <v>950</v>
      </c>
      <c r="G175" t="s">
        <v>950</v>
      </c>
      <c r="H175" t="s">
        <v>1215</v>
      </c>
      <c r="I175" t="s">
        <v>1216</v>
      </c>
    </row>
    <row r="177" spans="2:9">
      <c r="B177" t="s">
        <v>1217</v>
      </c>
      <c r="D177">
        <v>1050510</v>
      </c>
      <c r="E177" t="s">
        <v>960</v>
      </c>
      <c r="F177" t="s">
        <v>950</v>
      </c>
      <c r="G177" t="s">
        <v>950</v>
      </c>
      <c r="H177" t="s">
        <v>1218</v>
      </c>
      <c r="I177" t="s">
        <v>1219</v>
      </c>
    </row>
    <row r="179" spans="2:9">
      <c r="B179" t="s">
        <v>1220</v>
      </c>
      <c r="D179">
        <v>1030312</v>
      </c>
      <c r="E179" t="s">
        <v>960</v>
      </c>
      <c r="F179" t="s">
        <v>950</v>
      </c>
      <c r="G179" t="s">
        <v>950</v>
      </c>
      <c r="H179" t="s">
        <v>1221</v>
      </c>
      <c r="I179" t="s">
        <v>1222</v>
      </c>
    </row>
    <row r="181" spans="2:9">
      <c r="B181" t="s">
        <v>1223</v>
      </c>
      <c r="D181">
        <v>1032800</v>
      </c>
      <c r="E181" t="s">
        <v>960</v>
      </c>
      <c r="F181" t="s">
        <v>950</v>
      </c>
      <c r="G181" t="s">
        <v>950</v>
      </c>
      <c r="H181" t="s">
        <v>1224</v>
      </c>
      <c r="I181" t="s">
        <v>1225</v>
      </c>
    </row>
    <row r="183" spans="2:9">
      <c r="B183" t="s">
        <v>1226</v>
      </c>
      <c r="D183">
        <v>1376510</v>
      </c>
      <c r="E183" t="s">
        <v>960</v>
      </c>
      <c r="F183" t="s">
        <v>950</v>
      </c>
      <c r="G183" t="s">
        <v>950</v>
      </c>
      <c r="H183" t="s">
        <v>1227</v>
      </c>
      <c r="I183" t="s">
        <v>1228</v>
      </c>
    </row>
    <row r="185" spans="2:9">
      <c r="B185" t="s">
        <v>1229</v>
      </c>
      <c r="D185">
        <v>4000285</v>
      </c>
      <c r="E185" t="s">
        <v>1162</v>
      </c>
      <c r="F185" t="s">
        <v>950</v>
      </c>
      <c r="G185" t="s">
        <v>950</v>
      </c>
      <c r="H185" t="s">
        <v>1230</v>
      </c>
      <c r="I185" t="s">
        <v>1231</v>
      </c>
    </row>
    <row r="186" spans="2:9">
      <c r="B186" t="s">
        <v>1232</v>
      </c>
      <c r="D186">
        <v>1338800</v>
      </c>
      <c r="E186" t="s">
        <v>960</v>
      </c>
      <c r="F186" t="s">
        <v>950</v>
      </c>
      <c r="G186" t="s">
        <v>950</v>
      </c>
      <c r="H186" t="s">
        <v>1233</v>
      </c>
      <c r="I186" t="s">
        <v>1234</v>
      </c>
    </row>
    <row r="188" spans="2:9">
      <c r="B188" t="s">
        <v>1235</v>
      </c>
      <c r="D188">
        <v>2532002</v>
      </c>
      <c r="E188" t="s">
        <v>1236</v>
      </c>
      <c r="F188" t="s">
        <v>1237</v>
      </c>
      <c r="G188" t="s">
        <v>1237</v>
      </c>
      <c r="I188" t="s">
        <v>1238</v>
      </c>
    </row>
    <row r="189" spans="2:9">
      <c r="B189" t="s">
        <v>1239</v>
      </c>
      <c r="D189" t="s">
        <v>1240</v>
      </c>
      <c r="E189" t="s">
        <v>1236</v>
      </c>
      <c r="F189" t="s">
        <v>1237</v>
      </c>
      <c r="G189" t="s">
        <v>1237</v>
      </c>
      <c r="I189" t="s">
        <v>1241</v>
      </c>
    </row>
    <row r="190" spans="2:9">
      <c r="B190" t="s">
        <v>1242</v>
      </c>
      <c r="D190">
        <v>1009500</v>
      </c>
      <c r="E190" t="s">
        <v>960</v>
      </c>
      <c r="F190" t="s">
        <v>1237</v>
      </c>
      <c r="G190" t="s">
        <v>1237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8"/>
  <sheetViews>
    <sheetView tabSelected="1" topLeftCell="M4" zoomScale="85" zoomScaleNormal="85" workbookViewId="0">
      <selection activeCell="X36" sqref="X36"/>
    </sheetView>
  </sheetViews>
  <sheetFormatPr defaultRowHeight="15"/>
  <cols>
    <col min="2" max="2" width="8.7109375" customWidth="1"/>
    <col min="6" max="6" width="5.5703125" customWidth="1"/>
    <col min="9" max="9" width="9.28515625" customWidth="1"/>
    <col min="10" max="10" width="7.42578125" customWidth="1"/>
    <col min="11" max="11" width="10" customWidth="1"/>
    <col min="12" max="12" width="6.140625" customWidth="1"/>
    <col min="14" max="14" width="10.140625" customWidth="1"/>
    <col min="15" max="15" width="9.28515625" customWidth="1"/>
    <col min="16" max="16" width="9.140625" customWidth="1"/>
    <col min="17" max="17" width="10.42578125" customWidth="1"/>
    <col min="18" max="18" width="19.7109375" customWidth="1"/>
    <col min="20" max="20" width="12.140625" customWidth="1"/>
    <col min="21" max="21" width="17.85546875" customWidth="1"/>
    <col min="23" max="23" width="10.7109375" customWidth="1"/>
  </cols>
  <sheetData>
    <row r="1" spans="2:27" ht="15.75" thickBot="1">
      <c r="J1" s="231" t="s">
        <v>734</v>
      </c>
      <c r="K1" s="231"/>
      <c r="L1" s="231"/>
      <c r="M1">
        <v>72.55</v>
      </c>
    </row>
    <row r="2" spans="2:27" ht="75.75" thickBot="1">
      <c r="B2" s="220" t="s">
        <v>698</v>
      </c>
      <c r="C2" s="221"/>
      <c r="D2" s="221"/>
      <c r="E2" s="221"/>
      <c r="F2" s="221"/>
      <c r="G2" s="221"/>
      <c r="H2" s="198" t="s">
        <v>1469</v>
      </c>
      <c r="I2" s="200" t="s">
        <v>1478</v>
      </c>
      <c r="N2" s="202" t="s">
        <v>1484</v>
      </c>
      <c r="Q2" s="231" t="s">
        <v>1751</v>
      </c>
      <c r="R2" s="231"/>
      <c r="S2" s="231"/>
      <c r="T2" s="231"/>
      <c r="W2" s="202" t="s">
        <v>1752</v>
      </c>
      <c r="X2" s="209" t="s">
        <v>1754</v>
      </c>
      <c r="Y2" s="210" t="s">
        <v>1753</v>
      </c>
      <c r="Z2" s="202" t="s">
        <v>1755</v>
      </c>
      <c r="AA2" s="202" t="s">
        <v>1567</v>
      </c>
    </row>
    <row r="3" spans="2:27" ht="15.75" thickBot="1">
      <c r="B3" s="38">
        <v>300</v>
      </c>
      <c r="C3" s="25">
        <v>200</v>
      </c>
      <c r="D3" s="25">
        <v>150</v>
      </c>
      <c r="E3" s="25" t="s">
        <v>0</v>
      </c>
      <c r="F3" s="25">
        <v>1</v>
      </c>
      <c r="G3" s="196" t="s">
        <v>1</v>
      </c>
      <c r="H3" s="25">
        <f>2*(B3*C3+C3*D3+B3*D3)/1000000</f>
        <v>0.27</v>
      </c>
      <c r="I3">
        <v>6459.2369506975847</v>
      </c>
      <c r="J3">
        <v>1002500</v>
      </c>
      <c r="K3" s="199" t="s">
        <v>736</v>
      </c>
      <c r="L3">
        <v>277.64999999999998</v>
      </c>
      <c r="M3">
        <f>L3*$M$1</f>
        <v>20143.507499999996</v>
      </c>
      <c r="N3" s="201" t="s">
        <v>1479</v>
      </c>
      <c r="O3" s="166" t="s">
        <v>1485</v>
      </c>
      <c r="P3" s="167" t="s">
        <v>1486</v>
      </c>
      <c r="W3">
        <f>T3/H3</f>
        <v>0</v>
      </c>
      <c r="X3">
        <v>35948.291611297936</v>
      </c>
      <c r="Y3">
        <f>X3*H3</f>
        <v>9706.0387350504443</v>
      </c>
      <c r="Z3">
        <f>Y3*0.95</f>
        <v>9220.7367982979213</v>
      </c>
      <c r="AA3">
        <f>ROUND(Z3,0)</f>
        <v>9221</v>
      </c>
    </row>
    <row r="4" spans="2:27" ht="15.75" thickBot="1">
      <c r="B4" s="38">
        <v>300</v>
      </c>
      <c r="C4" s="25">
        <v>250</v>
      </c>
      <c r="D4" s="25">
        <v>150</v>
      </c>
      <c r="E4" s="25" t="s">
        <v>0</v>
      </c>
      <c r="F4" s="25">
        <v>1</v>
      </c>
      <c r="G4" s="196" t="s">
        <v>2</v>
      </c>
      <c r="H4" s="25">
        <f t="shared" ref="H4:H46" si="0">2*(B4*C4+C4*D4+B4*D4)/1000000</f>
        <v>0.315</v>
      </c>
      <c r="M4">
        <f t="shared" ref="M4:M48" si="1">L4*$M$1</f>
        <v>0</v>
      </c>
      <c r="Q4" t="s">
        <v>1499</v>
      </c>
      <c r="R4" t="s">
        <v>1500</v>
      </c>
      <c r="S4">
        <v>20632.7</v>
      </c>
      <c r="T4" s="207">
        <v>14442.51</v>
      </c>
      <c r="U4" s="166" t="s">
        <v>1561</v>
      </c>
      <c r="V4" s="167" t="s">
        <v>1562</v>
      </c>
      <c r="W4">
        <f>T4/H4</f>
        <v>45849.238095238099</v>
      </c>
      <c r="X4">
        <v>45849.238095238099</v>
      </c>
      <c r="Y4">
        <f t="shared" ref="Y4:Y46" si="2">X4*H4</f>
        <v>14442.510000000002</v>
      </c>
      <c r="Z4">
        <f t="shared" ref="Z4:Z46" si="3">Y4*0.95</f>
        <v>13720.384500000002</v>
      </c>
      <c r="AA4">
        <f t="shared" ref="AA4:AA46" si="4">ROUND(Z4,0)</f>
        <v>13720</v>
      </c>
    </row>
    <row r="5" spans="2:27" ht="15.75" thickBot="1">
      <c r="B5" s="38">
        <v>300</v>
      </c>
      <c r="C5" s="25">
        <v>300</v>
      </c>
      <c r="D5" s="25">
        <v>150</v>
      </c>
      <c r="E5" s="25" t="s">
        <v>0</v>
      </c>
      <c r="F5" s="25">
        <v>1</v>
      </c>
      <c r="G5" s="196" t="s">
        <v>3</v>
      </c>
      <c r="H5" s="25">
        <f t="shared" si="0"/>
        <v>0.36</v>
      </c>
      <c r="M5">
        <f t="shared" si="1"/>
        <v>0</v>
      </c>
      <c r="Q5" t="s">
        <v>1495</v>
      </c>
      <c r="R5" t="s">
        <v>1496</v>
      </c>
      <c r="S5">
        <v>21684.53</v>
      </c>
      <c r="T5" s="207">
        <v>15178.77</v>
      </c>
      <c r="U5" s="166" t="s">
        <v>1563</v>
      </c>
      <c r="V5" s="167" t="s">
        <v>1564</v>
      </c>
      <c r="W5">
        <f t="shared" ref="W5:W46" si="5">T5/H5</f>
        <v>42163.25</v>
      </c>
      <c r="X5">
        <v>42163.25</v>
      </c>
      <c r="Y5">
        <f t="shared" si="2"/>
        <v>15178.769999999999</v>
      </c>
      <c r="Z5">
        <f t="shared" si="3"/>
        <v>14419.831499999998</v>
      </c>
      <c r="AA5">
        <f t="shared" si="4"/>
        <v>14420</v>
      </c>
    </row>
    <row r="6" spans="2:27">
      <c r="B6" s="38">
        <v>300</v>
      </c>
      <c r="C6" s="25">
        <v>400</v>
      </c>
      <c r="D6" s="25">
        <v>150</v>
      </c>
      <c r="E6" s="25" t="s">
        <v>0</v>
      </c>
      <c r="F6" s="25">
        <v>1</v>
      </c>
      <c r="G6" s="196" t="s">
        <v>4</v>
      </c>
      <c r="H6" s="25">
        <f t="shared" si="0"/>
        <v>0.45</v>
      </c>
      <c r="M6">
        <f t="shared" si="1"/>
        <v>0</v>
      </c>
      <c r="Q6" t="s">
        <v>1497</v>
      </c>
      <c r="R6" t="s">
        <v>1498</v>
      </c>
      <c r="S6">
        <v>23771.11</v>
      </c>
      <c r="T6" s="207">
        <v>16639.349999999999</v>
      </c>
      <c r="W6">
        <f t="shared" si="5"/>
        <v>36976.333333333328</v>
      </c>
      <c r="X6">
        <v>36976.333333333328</v>
      </c>
      <c r="Y6">
        <f t="shared" si="2"/>
        <v>16639.349999999999</v>
      </c>
      <c r="Z6">
        <f t="shared" si="3"/>
        <v>15807.382499999998</v>
      </c>
      <c r="AA6">
        <f t="shared" si="4"/>
        <v>15807</v>
      </c>
    </row>
    <row r="7" spans="2:27">
      <c r="B7" s="38">
        <v>300</v>
      </c>
      <c r="C7" s="25">
        <v>400</v>
      </c>
      <c r="D7" s="25">
        <v>200</v>
      </c>
      <c r="E7" s="25" t="s">
        <v>0</v>
      </c>
      <c r="F7" s="25">
        <v>1</v>
      </c>
      <c r="G7" s="196" t="s">
        <v>5</v>
      </c>
      <c r="H7" s="25">
        <f t="shared" si="0"/>
        <v>0.52</v>
      </c>
      <c r="M7">
        <f t="shared" si="1"/>
        <v>0</v>
      </c>
      <c r="T7" s="206"/>
      <c r="W7">
        <f t="shared" si="5"/>
        <v>0</v>
      </c>
      <c r="X7">
        <v>37600.807692307688</v>
      </c>
      <c r="Y7">
        <f t="shared" si="2"/>
        <v>19552.419999999998</v>
      </c>
      <c r="Z7">
        <f t="shared" si="3"/>
        <v>18574.798999999999</v>
      </c>
      <c r="AA7">
        <f t="shared" si="4"/>
        <v>18575</v>
      </c>
    </row>
    <row r="8" spans="2:27" ht="15.75" thickBot="1">
      <c r="B8" s="38">
        <v>400</v>
      </c>
      <c r="C8" s="25">
        <v>300</v>
      </c>
      <c r="D8" s="25">
        <v>150</v>
      </c>
      <c r="E8" s="25" t="s">
        <v>0</v>
      </c>
      <c r="F8" s="25">
        <v>1</v>
      </c>
      <c r="G8" s="196" t="s">
        <v>6</v>
      </c>
      <c r="H8" s="25">
        <f t="shared" si="0"/>
        <v>0.45</v>
      </c>
      <c r="M8">
        <f t="shared" si="1"/>
        <v>0</v>
      </c>
      <c r="Q8" t="s">
        <v>1501</v>
      </c>
      <c r="R8" t="s">
        <v>1502</v>
      </c>
      <c r="S8">
        <v>23835.21</v>
      </c>
      <c r="T8" s="207">
        <v>16684.21</v>
      </c>
      <c r="W8">
        <f t="shared" si="5"/>
        <v>37076.022222222222</v>
      </c>
      <c r="X8">
        <v>36976.333333333328</v>
      </c>
      <c r="Y8">
        <f t="shared" si="2"/>
        <v>16639.349999999999</v>
      </c>
      <c r="Z8">
        <f t="shared" si="3"/>
        <v>15807.382499999998</v>
      </c>
      <c r="AA8">
        <f t="shared" si="4"/>
        <v>15807</v>
      </c>
    </row>
    <row r="9" spans="2:27" ht="15.75" thickBot="1">
      <c r="B9" s="38">
        <v>400</v>
      </c>
      <c r="C9" s="25">
        <v>300</v>
      </c>
      <c r="D9" s="25">
        <v>200</v>
      </c>
      <c r="E9" s="25" t="s">
        <v>0</v>
      </c>
      <c r="F9" s="25">
        <v>1</v>
      </c>
      <c r="G9" s="196" t="s">
        <v>7</v>
      </c>
      <c r="H9" s="25">
        <f t="shared" si="0"/>
        <v>0.52</v>
      </c>
      <c r="J9">
        <v>1005500</v>
      </c>
      <c r="K9" s="199" t="s">
        <v>739</v>
      </c>
      <c r="L9">
        <v>368.71</v>
      </c>
      <c r="M9">
        <f t="shared" si="1"/>
        <v>26749.910499999998</v>
      </c>
      <c r="N9" s="201" t="s">
        <v>1480</v>
      </c>
      <c r="O9" s="166" t="s">
        <v>1487</v>
      </c>
      <c r="P9" s="167" t="s">
        <v>1488</v>
      </c>
      <c r="Q9" t="s">
        <v>1503</v>
      </c>
      <c r="R9" t="s">
        <v>1504</v>
      </c>
      <c r="S9">
        <v>27932.76</v>
      </c>
      <c r="T9" s="207">
        <v>19552.419999999998</v>
      </c>
      <c r="W9">
        <f t="shared" si="5"/>
        <v>37600.807692307688</v>
      </c>
      <c r="X9">
        <v>37600.807692307688</v>
      </c>
      <c r="Y9">
        <f t="shared" si="2"/>
        <v>19552.419999999998</v>
      </c>
      <c r="Z9">
        <f t="shared" si="3"/>
        <v>18574.798999999999</v>
      </c>
      <c r="AA9">
        <f t="shared" si="4"/>
        <v>18575</v>
      </c>
    </row>
    <row r="10" spans="2:27" ht="15.75" thickBot="1">
      <c r="B10" s="38">
        <v>400</v>
      </c>
      <c r="C10" s="25">
        <v>400</v>
      </c>
      <c r="D10" s="25">
        <v>200</v>
      </c>
      <c r="E10" s="25" t="s">
        <v>0</v>
      </c>
      <c r="F10" s="25">
        <v>1</v>
      </c>
      <c r="G10" s="196" t="s">
        <v>8</v>
      </c>
      <c r="H10" s="25">
        <f t="shared" si="0"/>
        <v>0.64</v>
      </c>
      <c r="J10">
        <v>1006500</v>
      </c>
      <c r="K10" s="199" t="s">
        <v>740</v>
      </c>
      <c r="L10">
        <v>377.42</v>
      </c>
      <c r="M10">
        <f t="shared" si="1"/>
        <v>27381.821</v>
      </c>
      <c r="N10" s="201" t="s">
        <v>1481</v>
      </c>
      <c r="O10" s="166" t="s">
        <v>1489</v>
      </c>
      <c r="P10" s="167" t="s">
        <v>1490</v>
      </c>
      <c r="Q10" t="s">
        <v>1505</v>
      </c>
      <c r="R10" t="s">
        <v>1506</v>
      </c>
      <c r="S10">
        <v>31491.77</v>
      </c>
      <c r="T10" s="207">
        <v>22043.66</v>
      </c>
      <c r="W10">
        <f t="shared" si="5"/>
        <v>34443.21875</v>
      </c>
      <c r="X10">
        <v>34443.21875</v>
      </c>
      <c r="Y10">
        <f t="shared" si="2"/>
        <v>22043.66</v>
      </c>
      <c r="Z10">
        <f t="shared" si="3"/>
        <v>20941.476999999999</v>
      </c>
      <c r="AA10">
        <f t="shared" si="4"/>
        <v>20941</v>
      </c>
    </row>
    <row r="11" spans="2:27" ht="15.75" thickBot="1">
      <c r="B11" s="38">
        <v>400</v>
      </c>
      <c r="C11" s="25">
        <v>600</v>
      </c>
      <c r="D11" s="25">
        <v>200</v>
      </c>
      <c r="E11" s="25" t="s">
        <v>0</v>
      </c>
      <c r="F11" s="25">
        <v>1</v>
      </c>
      <c r="G11" s="196" t="s">
        <v>9</v>
      </c>
      <c r="H11" s="25">
        <f t="shared" si="0"/>
        <v>0.88</v>
      </c>
      <c r="M11">
        <f t="shared" si="1"/>
        <v>0</v>
      </c>
      <c r="Q11" t="s">
        <v>1507</v>
      </c>
      <c r="R11" t="s">
        <v>1508</v>
      </c>
      <c r="S11">
        <v>37124.400000000001</v>
      </c>
      <c r="T11" s="207">
        <v>25986.41</v>
      </c>
      <c r="W11">
        <f t="shared" si="5"/>
        <v>29530.011363636364</v>
      </c>
      <c r="X11">
        <v>29530.011363636364</v>
      </c>
      <c r="Y11">
        <f t="shared" si="2"/>
        <v>25986.41</v>
      </c>
      <c r="Z11">
        <f t="shared" si="3"/>
        <v>24687.089499999998</v>
      </c>
      <c r="AA11">
        <f t="shared" si="4"/>
        <v>24687</v>
      </c>
    </row>
    <row r="12" spans="2:27" ht="15.75" thickBot="1">
      <c r="B12" s="38">
        <v>500</v>
      </c>
      <c r="C12" s="25">
        <v>300</v>
      </c>
      <c r="D12" s="25">
        <v>150</v>
      </c>
      <c r="E12" s="25" t="s">
        <v>0</v>
      </c>
      <c r="F12" s="25">
        <v>2</v>
      </c>
      <c r="G12" s="196" t="s">
        <v>10</v>
      </c>
      <c r="H12" s="25">
        <f t="shared" si="0"/>
        <v>0.54</v>
      </c>
      <c r="M12">
        <f t="shared" si="1"/>
        <v>0</v>
      </c>
      <c r="Q12" t="s">
        <v>1509</v>
      </c>
      <c r="R12" t="s">
        <v>1510</v>
      </c>
      <c r="S12">
        <v>26181.97</v>
      </c>
      <c r="T12" s="207">
        <v>18326.900000000001</v>
      </c>
      <c r="U12" s="166" t="s">
        <v>1565</v>
      </c>
      <c r="V12" s="167" t="s">
        <v>1566</v>
      </c>
      <c r="W12">
        <f t="shared" si="5"/>
        <v>33938.703703703701</v>
      </c>
      <c r="X12">
        <v>33938.703703703701</v>
      </c>
      <c r="Y12">
        <f t="shared" si="2"/>
        <v>18326.899999999998</v>
      </c>
      <c r="Z12">
        <f t="shared" si="3"/>
        <v>17410.554999999997</v>
      </c>
      <c r="AA12">
        <f t="shared" si="4"/>
        <v>17411</v>
      </c>
    </row>
    <row r="13" spans="2:27">
      <c r="B13" s="38">
        <v>500</v>
      </c>
      <c r="C13" s="25">
        <v>300</v>
      </c>
      <c r="D13" s="25">
        <v>200</v>
      </c>
      <c r="E13" s="25" t="s">
        <v>0</v>
      </c>
      <c r="F13" s="25">
        <v>2</v>
      </c>
      <c r="G13" s="196" t="s">
        <v>11</v>
      </c>
      <c r="H13" s="25">
        <f t="shared" si="0"/>
        <v>0.62</v>
      </c>
      <c r="M13">
        <f t="shared" si="1"/>
        <v>0</v>
      </c>
      <c r="Q13" t="s">
        <v>1511</v>
      </c>
      <c r="R13" t="s">
        <v>1512</v>
      </c>
      <c r="S13">
        <v>31233.88</v>
      </c>
      <c r="T13" s="208">
        <v>21863.14</v>
      </c>
      <c r="W13">
        <f t="shared" si="5"/>
        <v>35263.129032258061</v>
      </c>
      <c r="X13">
        <v>35263.129032258061</v>
      </c>
      <c r="Y13">
        <f t="shared" si="2"/>
        <v>21863.139999999996</v>
      </c>
      <c r="Z13">
        <f t="shared" si="3"/>
        <v>20769.982999999997</v>
      </c>
      <c r="AA13">
        <f t="shared" si="4"/>
        <v>20770</v>
      </c>
    </row>
    <row r="14" spans="2:27">
      <c r="B14" s="38">
        <v>500</v>
      </c>
      <c r="C14" s="25">
        <v>400</v>
      </c>
      <c r="D14" s="25">
        <v>200</v>
      </c>
      <c r="E14" s="25" t="s">
        <v>0</v>
      </c>
      <c r="F14" s="25">
        <v>2</v>
      </c>
      <c r="G14" s="196" t="s">
        <v>12</v>
      </c>
      <c r="H14" s="25">
        <f t="shared" si="0"/>
        <v>0.76</v>
      </c>
      <c r="M14">
        <f t="shared" si="1"/>
        <v>0</v>
      </c>
      <c r="Q14" t="s">
        <v>1513</v>
      </c>
      <c r="R14" t="s">
        <v>1514</v>
      </c>
      <c r="S14">
        <v>34472.769999999997</v>
      </c>
      <c r="T14" s="207">
        <v>24130.31</v>
      </c>
      <c r="W14">
        <f t="shared" si="5"/>
        <v>31750.407894736843</v>
      </c>
      <c r="X14">
        <v>31750.407894736843</v>
      </c>
      <c r="Y14">
        <f t="shared" si="2"/>
        <v>24130.31</v>
      </c>
      <c r="Z14">
        <f t="shared" si="3"/>
        <v>22923.7945</v>
      </c>
      <c r="AA14">
        <f t="shared" si="4"/>
        <v>22924</v>
      </c>
    </row>
    <row r="15" spans="2:27">
      <c r="B15" s="38">
        <v>500</v>
      </c>
      <c r="C15" s="25">
        <v>500</v>
      </c>
      <c r="D15" s="25">
        <v>200</v>
      </c>
      <c r="E15" s="25" t="s">
        <v>0</v>
      </c>
      <c r="F15" s="25">
        <v>2</v>
      </c>
      <c r="G15" s="196" t="s">
        <v>13</v>
      </c>
      <c r="H15" s="25">
        <f t="shared" si="0"/>
        <v>0.9</v>
      </c>
      <c r="M15">
        <f t="shared" si="1"/>
        <v>0</v>
      </c>
      <c r="Q15" t="s">
        <v>1517</v>
      </c>
      <c r="R15" t="s">
        <v>1518</v>
      </c>
      <c r="S15">
        <v>37703.769999999997</v>
      </c>
      <c r="T15" s="207">
        <v>26391.95</v>
      </c>
      <c r="W15">
        <f t="shared" si="5"/>
        <v>29324.388888888891</v>
      </c>
      <c r="X15">
        <v>29324.388888888891</v>
      </c>
      <c r="Y15">
        <f t="shared" si="2"/>
        <v>26391.95</v>
      </c>
      <c r="Z15">
        <f t="shared" si="3"/>
        <v>25072.352500000001</v>
      </c>
      <c r="AA15">
        <f t="shared" si="4"/>
        <v>25072</v>
      </c>
    </row>
    <row r="16" spans="2:27">
      <c r="B16" s="38">
        <v>500</v>
      </c>
      <c r="C16" s="25">
        <v>600</v>
      </c>
      <c r="D16" s="25">
        <v>200</v>
      </c>
      <c r="E16" s="25" t="s">
        <v>0</v>
      </c>
      <c r="F16" s="25">
        <v>2</v>
      </c>
      <c r="G16" s="196" t="s">
        <v>14</v>
      </c>
      <c r="H16" s="25">
        <f t="shared" si="0"/>
        <v>1.04</v>
      </c>
      <c r="M16">
        <f t="shared" si="1"/>
        <v>0</v>
      </c>
      <c r="T16" s="206"/>
      <c r="W16">
        <f t="shared" si="5"/>
        <v>0</v>
      </c>
      <c r="X16">
        <v>31710.959012627853</v>
      </c>
      <c r="Y16">
        <f t="shared" si="2"/>
        <v>32979.397373132968</v>
      </c>
      <c r="Z16">
        <f t="shared" si="3"/>
        <v>31330.427504476316</v>
      </c>
      <c r="AA16">
        <f t="shared" si="4"/>
        <v>31330</v>
      </c>
    </row>
    <row r="17" spans="2:27">
      <c r="B17" s="38">
        <v>500</v>
      </c>
      <c r="C17" s="25">
        <v>400</v>
      </c>
      <c r="D17" s="25">
        <v>250</v>
      </c>
      <c r="E17" s="25" t="s">
        <v>0</v>
      </c>
      <c r="F17" s="25">
        <v>2</v>
      </c>
      <c r="G17" s="196" t="s">
        <v>15</v>
      </c>
      <c r="H17" s="25">
        <f t="shared" si="0"/>
        <v>0.85</v>
      </c>
      <c r="M17">
        <f t="shared" si="1"/>
        <v>0</v>
      </c>
      <c r="Q17" t="s">
        <v>1515</v>
      </c>
      <c r="R17" t="s">
        <v>1516</v>
      </c>
      <c r="S17">
        <v>39029.01</v>
      </c>
      <c r="T17" s="207">
        <v>27319.59</v>
      </c>
      <c r="W17">
        <f t="shared" si="5"/>
        <v>32140.694117647061</v>
      </c>
      <c r="X17">
        <v>32140.694117647061</v>
      </c>
      <c r="Y17">
        <f t="shared" si="2"/>
        <v>27319.59</v>
      </c>
      <c r="Z17">
        <f t="shared" si="3"/>
        <v>25953.610499999999</v>
      </c>
      <c r="AA17">
        <f t="shared" si="4"/>
        <v>25954</v>
      </c>
    </row>
    <row r="18" spans="2:27">
      <c r="B18" s="38">
        <v>500</v>
      </c>
      <c r="C18" s="25">
        <v>500</v>
      </c>
      <c r="D18" s="25">
        <v>300</v>
      </c>
      <c r="E18" s="25" t="s">
        <v>0</v>
      </c>
      <c r="F18" s="25">
        <v>2</v>
      </c>
      <c r="G18" s="196" t="s">
        <v>16</v>
      </c>
      <c r="H18" s="25">
        <f t="shared" si="0"/>
        <v>1.1000000000000001</v>
      </c>
      <c r="M18">
        <f t="shared" si="1"/>
        <v>0</v>
      </c>
      <c r="T18" s="206"/>
      <c r="W18">
        <f t="shared" si="5"/>
        <v>0</v>
      </c>
      <c r="X18">
        <v>31341.426398220014</v>
      </c>
      <c r="Y18">
        <f t="shared" si="2"/>
        <v>34475.56903804202</v>
      </c>
      <c r="Z18">
        <f t="shared" si="3"/>
        <v>32751.790586139916</v>
      </c>
      <c r="AA18">
        <f t="shared" si="4"/>
        <v>32752</v>
      </c>
    </row>
    <row r="19" spans="2:27">
      <c r="B19" s="38">
        <v>500</v>
      </c>
      <c r="C19" s="25">
        <v>600</v>
      </c>
      <c r="D19" s="25">
        <v>300</v>
      </c>
      <c r="E19" s="25" t="s">
        <v>0</v>
      </c>
      <c r="F19" s="25">
        <v>2</v>
      </c>
      <c r="G19" s="196" t="s">
        <v>17</v>
      </c>
      <c r="H19" s="25">
        <f t="shared" si="0"/>
        <v>1.26</v>
      </c>
      <c r="M19">
        <f t="shared" si="1"/>
        <v>0</v>
      </c>
      <c r="T19" s="206"/>
      <c r="W19">
        <f t="shared" si="5"/>
        <v>0</v>
      </c>
      <c r="X19">
        <v>30634.881078012622</v>
      </c>
      <c r="Y19">
        <f t="shared" si="2"/>
        <v>38599.950158295906</v>
      </c>
      <c r="Z19">
        <f t="shared" si="3"/>
        <v>36669.952650381107</v>
      </c>
      <c r="AA19">
        <f t="shared" si="4"/>
        <v>36670</v>
      </c>
    </row>
    <row r="20" spans="2:27">
      <c r="B20" s="38">
        <v>600</v>
      </c>
      <c r="C20" s="25">
        <v>400</v>
      </c>
      <c r="D20" s="25">
        <v>200</v>
      </c>
      <c r="E20" s="25" t="s">
        <v>0</v>
      </c>
      <c r="F20" s="25">
        <v>2</v>
      </c>
      <c r="G20" s="196" t="s">
        <v>18</v>
      </c>
      <c r="H20" s="25">
        <f t="shared" si="0"/>
        <v>0.88</v>
      </c>
      <c r="M20">
        <f t="shared" si="1"/>
        <v>0</v>
      </c>
      <c r="Q20" t="s">
        <v>1519</v>
      </c>
      <c r="R20" t="s">
        <v>1520</v>
      </c>
      <c r="S20">
        <v>37338.230000000003</v>
      </c>
      <c r="T20" s="207">
        <v>26136.080000000002</v>
      </c>
      <c r="W20">
        <f t="shared" si="5"/>
        <v>29700.090909090912</v>
      </c>
      <c r="X20">
        <v>29530.011363636364</v>
      </c>
      <c r="Y20">
        <f t="shared" si="2"/>
        <v>25986.41</v>
      </c>
      <c r="Z20">
        <f t="shared" si="3"/>
        <v>24687.089499999998</v>
      </c>
      <c r="AA20">
        <f t="shared" si="4"/>
        <v>24687</v>
      </c>
    </row>
    <row r="21" spans="2:27">
      <c r="B21" s="38">
        <v>600</v>
      </c>
      <c r="C21" s="25">
        <v>500</v>
      </c>
      <c r="D21" s="25">
        <v>200</v>
      </c>
      <c r="E21" s="25" t="s">
        <v>0</v>
      </c>
      <c r="F21" s="25">
        <v>2</v>
      </c>
      <c r="G21" s="196" t="s">
        <v>19</v>
      </c>
      <c r="H21" s="25">
        <f t="shared" si="0"/>
        <v>1.04</v>
      </c>
      <c r="M21">
        <f t="shared" si="1"/>
        <v>0</v>
      </c>
      <c r="T21" s="206"/>
      <c r="W21">
        <f t="shared" si="5"/>
        <v>0</v>
      </c>
      <c r="X21">
        <v>31710.959012627853</v>
      </c>
      <c r="Y21">
        <f t="shared" si="2"/>
        <v>32979.397373132968</v>
      </c>
      <c r="Z21">
        <f t="shared" si="3"/>
        <v>31330.427504476316</v>
      </c>
      <c r="AA21">
        <f t="shared" si="4"/>
        <v>31330</v>
      </c>
    </row>
    <row r="22" spans="2:27" ht="15.75" thickBot="1">
      <c r="B22" s="38">
        <v>600</v>
      </c>
      <c r="C22" s="25">
        <v>400</v>
      </c>
      <c r="D22" s="25">
        <v>250</v>
      </c>
      <c r="E22" s="25" t="s">
        <v>0</v>
      </c>
      <c r="F22" s="25">
        <v>2</v>
      </c>
      <c r="G22" s="196" t="s">
        <v>20</v>
      </c>
      <c r="H22" s="25">
        <f t="shared" si="0"/>
        <v>0.98</v>
      </c>
      <c r="I22">
        <v>25294.493854452925</v>
      </c>
      <c r="M22">
        <f t="shared" si="1"/>
        <v>0</v>
      </c>
      <c r="Q22" t="s">
        <v>1523</v>
      </c>
      <c r="R22" t="s">
        <v>1524</v>
      </c>
      <c r="S22">
        <v>42043.42</v>
      </c>
      <c r="T22" s="207">
        <v>29429.64</v>
      </c>
      <c r="W22">
        <f t="shared" si="5"/>
        <v>30030.244897959183</v>
      </c>
      <c r="X22">
        <v>30030.244897959183</v>
      </c>
      <c r="Y22">
        <f t="shared" si="2"/>
        <v>29429.64</v>
      </c>
      <c r="Z22">
        <f t="shared" si="3"/>
        <v>27958.157999999999</v>
      </c>
      <c r="AA22">
        <f t="shared" si="4"/>
        <v>27958</v>
      </c>
    </row>
    <row r="23" spans="2:27" ht="15.75" thickBot="1">
      <c r="B23" s="38">
        <v>600</v>
      </c>
      <c r="C23" s="25">
        <v>600</v>
      </c>
      <c r="D23" s="25">
        <v>250</v>
      </c>
      <c r="E23" s="25" t="s">
        <v>0</v>
      </c>
      <c r="F23" s="25">
        <v>2</v>
      </c>
      <c r="G23" s="196" t="s">
        <v>21</v>
      </c>
      <c r="H23" s="25">
        <f t="shared" si="0"/>
        <v>1.32</v>
      </c>
      <c r="J23">
        <v>1010500</v>
      </c>
      <c r="K23" s="199" t="s">
        <v>744</v>
      </c>
      <c r="L23">
        <v>637.35</v>
      </c>
      <c r="M23">
        <f t="shared" si="1"/>
        <v>46239.7425</v>
      </c>
      <c r="N23" s="201" t="s">
        <v>1482</v>
      </c>
      <c r="O23" s="166" t="s">
        <v>1491</v>
      </c>
      <c r="P23" s="167" t="s">
        <v>1492</v>
      </c>
      <c r="Q23" t="s">
        <v>1527</v>
      </c>
      <c r="R23" t="s">
        <v>1528</v>
      </c>
      <c r="S23">
        <v>49864.89</v>
      </c>
      <c r="T23" s="207">
        <v>34904.51</v>
      </c>
      <c r="W23">
        <f t="shared" si="5"/>
        <v>26442.810606060608</v>
      </c>
      <c r="X23">
        <v>26442.810606060608</v>
      </c>
      <c r="Y23">
        <f t="shared" si="2"/>
        <v>34904.51</v>
      </c>
      <c r="Z23">
        <f t="shared" si="3"/>
        <v>33159.284500000002</v>
      </c>
      <c r="AA23">
        <f t="shared" si="4"/>
        <v>33159</v>
      </c>
    </row>
    <row r="24" spans="2:27">
      <c r="B24" s="38">
        <v>600</v>
      </c>
      <c r="C24" s="25">
        <v>400</v>
      </c>
      <c r="D24" s="25">
        <v>400</v>
      </c>
      <c r="E24" s="25" t="s">
        <v>0</v>
      </c>
      <c r="F24" s="25">
        <v>2</v>
      </c>
      <c r="G24" s="196" t="s">
        <v>22</v>
      </c>
      <c r="H24" s="25">
        <f t="shared" si="0"/>
        <v>1.28</v>
      </c>
      <c r="M24">
        <f t="shared" si="1"/>
        <v>0</v>
      </c>
      <c r="N24" t="s">
        <v>1466</v>
      </c>
      <c r="Q24" t="s">
        <v>1521</v>
      </c>
      <c r="R24" t="s">
        <v>1522</v>
      </c>
      <c r="S24">
        <v>71967.740000000005</v>
      </c>
      <c r="T24" s="207">
        <v>50376.1</v>
      </c>
      <c r="W24">
        <f t="shared" si="5"/>
        <v>39356.328125</v>
      </c>
      <c r="X24">
        <v>39356.328125</v>
      </c>
      <c r="Y24">
        <f t="shared" si="2"/>
        <v>50376.1</v>
      </c>
      <c r="Z24">
        <f t="shared" si="3"/>
        <v>47857.294999999998</v>
      </c>
      <c r="AA24">
        <f t="shared" si="4"/>
        <v>47857</v>
      </c>
    </row>
    <row r="25" spans="2:27">
      <c r="B25" s="38">
        <v>600</v>
      </c>
      <c r="C25" s="25">
        <v>600</v>
      </c>
      <c r="D25" s="25">
        <v>400</v>
      </c>
      <c r="E25" s="25" t="s">
        <v>0</v>
      </c>
      <c r="F25" s="25">
        <v>2</v>
      </c>
      <c r="G25" s="196" t="s">
        <v>23</v>
      </c>
      <c r="H25" s="25">
        <f t="shared" si="0"/>
        <v>1.68</v>
      </c>
      <c r="M25">
        <f t="shared" si="1"/>
        <v>0</v>
      </c>
      <c r="Q25" t="s">
        <v>1525</v>
      </c>
      <c r="R25" t="s">
        <v>1526</v>
      </c>
      <c r="S25">
        <v>73272.55</v>
      </c>
      <c r="T25" s="207">
        <v>51289.45</v>
      </c>
      <c r="W25">
        <f t="shared" si="5"/>
        <v>30529.434523809523</v>
      </c>
      <c r="X25">
        <v>30529.434523809523</v>
      </c>
      <c r="Y25">
        <f t="shared" si="2"/>
        <v>51289.45</v>
      </c>
      <c r="Z25">
        <f t="shared" si="3"/>
        <v>48724.977499999994</v>
      </c>
      <c r="AA25">
        <f t="shared" si="4"/>
        <v>48725</v>
      </c>
    </row>
    <row r="26" spans="2:27">
      <c r="B26" s="38">
        <v>700</v>
      </c>
      <c r="C26" s="25">
        <v>500</v>
      </c>
      <c r="D26" s="25">
        <v>200</v>
      </c>
      <c r="E26" s="25" t="s">
        <v>0</v>
      </c>
      <c r="F26" s="25">
        <v>2</v>
      </c>
      <c r="G26" s="196" t="s">
        <v>24</v>
      </c>
      <c r="H26" s="25">
        <f t="shared" si="0"/>
        <v>1.18</v>
      </c>
      <c r="M26">
        <f t="shared" si="1"/>
        <v>0</v>
      </c>
      <c r="Q26" t="s">
        <v>1529</v>
      </c>
      <c r="R26" t="s">
        <v>1530</v>
      </c>
      <c r="S26">
        <v>46390.2</v>
      </c>
      <c r="T26" s="207">
        <v>32472.29</v>
      </c>
      <c r="W26">
        <f t="shared" si="5"/>
        <v>27518.889830508477</v>
      </c>
      <c r="X26">
        <v>27518.889830508477</v>
      </c>
      <c r="Y26">
        <f t="shared" si="2"/>
        <v>32472.29</v>
      </c>
      <c r="Z26">
        <f t="shared" si="3"/>
        <v>30848.675500000001</v>
      </c>
      <c r="AA26">
        <f t="shared" si="4"/>
        <v>30849</v>
      </c>
    </row>
    <row r="27" spans="2:27">
      <c r="B27" s="38">
        <v>700</v>
      </c>
      <c r="C27" s="25">
        <v>500</v>
      </c>
      <c r="D27" s="25">
        <v>250</v>
      </c>
      <c r="E27" s="25" t="s">
        <v>0</v>
      </c>
      <c r="F27" s="25">
        <v>2</v>
      </c>
      <c r="G27" s="196" t="s">
        <v>25</v>
      </c>
      <c r="H27" s="25">
        <f t="shared" si="0"/>
        <v>1.3</v>
      </c>
      <c r="M27">
        <f t="shared" si="1"/>
        <v>0</v>
      </c>
      <c r="Q27" t="s">
        <v>1531</v>
      </c>
      <c r="R27" t="s">
        <v>1532</v>
      </c>
      <c r="S27">
        <v>51510.69</v>
      </c>
      <c r="T27" s="207">
        <v>36056.54</v>
      </c>
      <c r="W27">
        <f t="shared" si="5"/>
        <v>27735.8</v>
      </c>
      <c r="X27">
        <v>27735.8</v>
      </c>
      <c r="Y27">
        <f t="shared" si="2"/>
        <v>36056.54</v>
      </c>
      <c r="Z27">
        <f t="shared" si="3"/>
        <v>34253.712999999996</v>
      </c>
      <c r="AA27">
        <f t="shared" si="4"/>
        <v>34254</v>
      </c>
    </row>
    <row r="28" spans="2:27">
      <c r="B28" s="38">
        <v>800</v>
      </c>
      <c r="C28" s="25">
        <v>600</v>
      </c>
      <c r="D28" s="25">
        <v>200</v>
      </c>
      <c r="E28" s="25" t="s">
        <v>0</v>
      </c>
      <c r="F28" s="25">
        <v>2</v>
      </c>
      <c r="G28" s="196" t="s">
        <v>26</v>
      </c>
      <c r="H28" s="25">
        <f t="shared" si="0"/>
        <v>1.52</v>
      </c>
      <c r="M28">
        <f t="shared" si="1"/>
        <v>0</v>
      </c>
      <c r="T28" s="206"/>
      <c r="W28">
        <f t="shared" si="5"/>
        <v>0</v>
      </c>
      <c r="X28">
        <v>29552.400477567608</v>
      </c>
      <c r="Y28">
        <f t="shared" si="2"/>
        <v>44919.648725902764</v>
      </c>
      <c r="Z28">
        <f t="shared" si="3"/>
        <v>42673.666289607623</v>
      </c>
      <c r="AA28">
        <f t="shared" si="4"/>
        <v>42674</v>
      </c>
    </row>
    <row r="29" spans="2:27">
      <c r="B29" s="38">
        <v>800</v>
      </c>
      <c r="C29" s="25">
        <v>800</v>
      </c>
      <c r="D29" s="25">
        <v>200</v>
      </c>
      <c r="E29" s="25" t="s">
        <v>0</v>
      </c>
      <c r="F29" s="25">
        <v>2</v>
      </c>
      <c r="G29" s="196" t="s">
        <v>27</v>
      </c>
      <c r="H29" s="25">
        <f t="shared" si="0"/>
        <v>1.92</v>
      </c>
      <c r="M29">
        <f t="shared" si="1"/>
        <v>0</v>
      </c>
      <c r="T29" s="206"/>
      <c r="W29">
        <f t="shared" si="5"/>
        <v>0</v>
      </c>
      <c r="X29">
        <v>28383.351813931607</v>
      </c>
      <c r="Y29">
        <f t="shared" si="2"/>
        <v>54496.035482748681</v>
      </c>
      <c r="Z29">
        <f t="shared" si="3"/>
        <v>51771.233708611246</v>
      </c>
      <c r="AA29">
        <f t="shared" si="4"/>
        <v>51771</v>
      </c>
    </row>
    <row r="30" spans="2:27">
      <c r="B30" s="38">
        <v>800</v>
      </c>
      <c r="C30" s="25">
        <v>600</v>
      </c>
      <c r="D30" s="25">
        <v>250</v>
      </c>
      <c r="E30" s="25" t="s">
        <v>0</v>
      </c>
      <c r="F30" s="25">
        <v>2</v>
      </c>
      <c r="G30" s="196" t="s">
        <v>28</v>
      </c>
      <c r="H30" s="25">
        <f t="shared" si="0"/>
        <v>1.66</v>
      </c>
      <c r="M30">
        <f t="shared" si="1"/>
        <v>0</v>
      </c>
      <c r="Q30" t="s">
        <v>1537</v>
      </c>
      <c r="R30" t="s">
        <v>1538</v>
      </c>
      <c r="S30">
        <v>60719.74</v>
      </c>
      <c r="T30" s="207">
        <v>42502.720000000001</v>
      </c>
      <c r="W30">
        <f t="shared" si="5"/>
        <v>25604.048192771086</v>
      </c>
      <c r="X30">
        <v>25604.048192771086</v>
      </c>
      <c r="Y30">
        <f t="shared" si="2"/>
        <v>42502.720000000001</v>
      </c>
      <c r="Z30">
        <f t="shared" si="3"/>
        <v>40377.584000000003</v>
      </c>
      <c r="AA30">
        <f t="shared" si="4"/>
        <v>40378</v>
      </c>
    </row>
    <row r="31" spans="2:27">
      <c r="B31" s="38">
        <v>800</v>
      </c>
      <c r="C31" s="25">
        <v>600</v>
      </c>
      <c r="D31" s="25">
        <v>300</v>
      </c>
      <c r="E31" s="25" t="s">
        <v>0</v>
      </c>
      <c r="F31" s="25">
        <v>2</v>
      </c>
      <c r="G31" s="196" t="s">
        <v>29</v>
      </c>
      <c r="H31" s="25">
        <f t="shared" si="0"/>
        <v>1.8</v>
      </c>
      <c r="M31">
        <f t="shared" si="1"/>
        <v>0</v>
      </c>
      <c r="Q31" t="s">
        <v>1533</v>
      </c>
      <c r="R31" t="s">
        <v>1534</v>
      </c>
      <c r="S31">
        <v>66610.8</v>
      </c>
      <c r="T31" s="207">
        <v>46626.35</v>
      </c>
      <c r="W31">
        <f t="shared" si="5"/>
        <v>25903.527777777777</v>
      </c>
      <c r="X31">
        <v>25903.527777777777</v>
      </c>
      <c r="Y31">
        <f t="shared" si="2"/>
        <v>46626.35</v>
      </c>
      <c r="Z31">
        <f t="shared" si="3"/>
        <v>44295.032499999994</v>
      </c>
      <c r="AA31">
        <f t="shared" si="4"/>
        <v>44295</v>
      </c>
    </row>
    <row r="32" spans="2:27">
      <c r="B32" s="38">
        <v>800</v>
      </c>
      <c r="C32" s="25">
        <v>800</v>
      </c>
      <c r="D32" s="25">
        <v>300</v>
      </c>
      <c r="E32" s="25" t="s">
        <v>0</v>
      </c>
      <c r="F32" s="25">
        <v>2</v>
      </c>
      <c r="G32" s="196" t="s">
        <v>30</v>
      </c>
      <c r="H32" s="25">
        <f t="shared" si="0"/>
        <v>2.2400000000000002</v>
      </c>
      <c r="M32">
        <f t="shared" si="1"/>
        <v>0</v>
      </c>
      <c r="Q32" t="s">
        <v>1539</v>
      </c>
      <c r="R32" t="s">
        <v>1540</v>
      </c>
      <c r="S32">
        <v>77726.42</v>
      </c>
      <c r="T32" s="207">
        <v>54407.08</v>
      </c>
      <c r="W32">
        <f t="shared" si="5"/>
        <v>24288.875</v>
      </c>
      <c r="X32">
        <v>24288.875</v>
      </c>
      <c r="Y32">
        <f t="shared" si="2"/>
        <v>54407.08</v>
      </c>
      <c r="Z32">
        <f t="shared" si="3"/>
        <v>51686.726000000002</v>
      </c>
      <c r="AA32">
        <f t="shared" si="4"/>
        <v>51687</v>
      </c>
    </row>
    <row r="33" spans="2:27">
      <c r="B33" s="38">
        <v>800</v>
      </c>
      <c r="C33" s="25">
        <v>600</v>
      </c>
      <c r="D33" s="25">
        <v>400</v>
      </c>
      <c r="E33" s="25" t="s">
        <v>0</v>
      </c>
      <c r="F33" s="25">
        <v>2</v>
      </c>
      <c r="G33" s="196" t="s">
        <v>31</v>
      </c>
      <c r="H33" s="25">
        <f t="shared" si="0"/>
        <v>2.08</v>
      </c>
      <c r="M33">
        <f t="shared" si="1"/>
        <v>0</v>
      </c>
      <c r="Q33" t="s">
        <v>1535</v>
      </c>
      <c r="R33" t="s">
        <v>1536</v>
      </c>
      <c r="S33">
        <v>95290.27</v>
      </c>
      <c r="T33" s="207">
        <v>66701.45</v>
      </c>
      <c r="W33">
        <f t="shared" si="5"/>
        <v>32068.004807692305</v>
      </c>
      <c r="X33">
        <v>32068.004807692305</v>
      </c>
      <c r="Y33">
        <f t="shared" si="2"/>
        <v>66701.45</v>
      </c>
      <c r="Z33">
        <f t="shared" si="3"/>
        <v>63366.377499999995</v>
      </c>
      <c r="AA33">
        <f t="shared" si="4"/>
        <v>63366</v>
      </c>
    </row>
    <row r="34" spans="2:27">
      <c r="B34" s="38">
        <v>800</v>
      </c>
      <c r="C34" s="25">
        <v>800</v>
      </c>
      <c r="D34" s="25">
        <v>400</v>
      </c>
      <c r="E34" s="25" t="s">
        <v>0</v>
      </c>
      <c r="F34" s="25">
        <v>2</v>
      </c>
      <c r="G34" s="196" t="s">
        <v>32</v>
      </c>
      <c r="H34" s="25">
        <f t="shared" si="0"/>
        <v>2.56</v>
      </c>
      <c r="M34">
        <f t="shared" si="1"/>
        <v>0</v>
      </c>
      <c r="Q34" t="s">
        <v>1541</v>
      </c>
      <c r="R34" t="s">
        <v>1542</v>
      </c>
      <c r="S34">
        <v>109768.3</v>
      </c>
      <c r="T34" s="207">
        <v>76835.81</v>
      </c>
      <c r="W34">
        <f t="shared" si="5"/>
        <v>30013.98828125</v>
      </c>
      <c r="X34">
        <v>30013.98828125</v>
      </c>
      <c r="Y34">
        <f t="shared" si="2"/>
        <v>76835.81</v>
      </c>
      <c r="Z34">
        <f t="shared" si="3"/>
        <v>72994.019499999995</v>
      </c>
      <c r="AA34">
        <f t="shared" si="4"/>
        <v>72994</v>
      </c>
    </row>
    <row r="35" spans="2:27">
      <c r="B35" s="38">
        <v>1000</v>
      </c>
      <c r="C35" s="25">
        <v>600</v>
      </c>
      <c r="D35" s="25">
        <v>250</v>
      </c>
      <c r="E35" s="25" t="s">
        <v>33</v>
      </c>
      <c r="F35" s="25">
        <v>2</v>
      </c>
      <c r="G35" s="196" t="s">
        <v>34</v>
      </c>
      <c r="H35" s="25">
        <f t="shared" si="0"/>
        <v>2</v>
      </c>
      <c r="M35">
        <f t="shared" si="1"/>
        <v>0</v>
      </c>
      <c r="Q35" t="s">
        <v>1547</v>
      </c>
      <c r="R35" t="s">
        <v>1548</v>
      </c>
      <c r="S35">
        <v>69450.710000000006</v>
      </c>
      <c r="T35" s="207">
        <v>48614.22</v>
      </c>
      <c r="W35">
        <f t="shared" si="5"/>
        <v>24307.11</v>
      </c>
      <c r="X35">
        <v>24307.11</v>
      </c>
      <c r="Y35">
        <f t="shared" si="2"/>
        <v>48614.22</v>
      </c>
      <c r="Z35">
        <f t="shared" si="3"/>
        <v>46183.508999999998</v>
      </c>
      <c r="AA35">
        <f t="shared" si="4"/>
        <v>46184</v>
      </c>
    </row>
    <row r="36" spans="2:27">
      <c r="B36" s="38">
        <v>1000</v>
      </c>
      <c r="C36" s="25">
        <v>600</v>
      </c>
      <c r="D36" s="25">
        <v>300</v>
      </c>
      <c r="E36" s="25" t="s">
        <v>33</v>
      </c>
      <c r="F36" s="25">
        <v>2</v>
      </c>
      <c r="G36" s="196" t="s">
        <v>35</v>
      </c>
      <c r="H36" s="25">
        <f t="shared" si="0"/>
        <v>2.16</v>
      </c>
      <c r="M36">
        <f t="shared" si="1"/>
        <v>0</v>
      </c>
      <c r="Q36" t="s">
        <v>1543</v>
      </c>
      <c r="R36" t="s">
        <v>1544</v>
      </c>
      <c r="S36">
        <v>75614.179999999993</v>
      </c>
      <c r="T36" s="207">
        <v>52928.55</v>
      </c>
      <c r="W36">
        <f t="shared" si="5"/>
        <v>24503.958333333332</v>
      </c>
      <c r="X36">
        <v>24503.958333333299</v>
      </c>
      <c r="Y36">
        <f t="shared" si="2"/>
        <v>52928.54999999993</v>
      </c>
      <c r="Z36">
        <f t="shared" si="3"/>
        <v>50282.122499999932</v>
      </c>
      <c r="AA36">
        <f t="shared" si="4"/>
        <v>50282</v>
      </c>
    </row>
    <row r="37" spans="2:27">
      <c r="B37" s="38">
        <v>1000</v>
      </c>
      <c r="C37" s="25">
        <v>800</v>
      </c>
      <c r="D37" s="25">
        <v>300</v>
      </c>
      <c r="E37" s="25" t="s">
        <v>33</v>
      </c>
      <c r="F37" s="25">
        <v>2</v>
      </c>
      <c r="G37" s="196" t="s">
        <v>36</v>
      </c>
      <c r="H37" s="25">
        <f t="shared" si="0"/>
        <v>2.68</v>
      </c>
      <c r="M37">
        <f t="shared" si="1"/>
        <v>0</v>
      </c>
      <c r="Q37" t="s">
        <v>1549</v>
      </c>
      <c r="R37" t="s">
        <v>1550</v>
      </c>
      <c r="S37">
        <v>92924.67</v>
      </c>
      <c r="T37" s="207">
        <v>65045.57</v>
      </c>
      <c r="W37">
        <f t="shared" si="5"/>
        <v>24270.735074626864</v>
      </c>
      <c r="X37">
        <v>24270.735074626864</v>
      </c>
      <c r="Y37">
        <f t="shared" si="2"/>
        <v>65045.57</v>
      </c>
      <c r="Z37">
        <f t="shared" si="3"/>
        <v>61793.291499999999</v>
      </c>
      <c r="AA37">
        <f t="shared" si="4"/>
        <v>61793</v>
      </c>
    </row>
    <row r="38" spans="2:27">
      <c r="B38" s="38">
        <v>1000</v>
      </c>
      <c r="C38" s="25">
        <v>600</v>
      </c>
      <c r="D38" s="25">
        <v>400</v>
      </c>
      <c r="E38" s="25" t="s">
        <v>33</v>
      </c>
      <c r="F38" s="25">
        <v>2</v>
      </c>
      <c r="G38" s="196" t="s">
        <v>37</v>
      </c>
      <c r="H38" s="25">
        <f t="shared" si="0"/>
        <v>2.48</v>
      </c>
      <c r="M38">
        <f t="shared" si="1"/>
        <v>0</v>
      </c>
      <c r="Q38" t="s">
        <v>1545</v>
      </c>
      <c r="R38" t="s">
        <v>1546</v>
      </c>
      <c r="S38">
        <v>106624.36</v>
      </c>
      <c r="T38" s="207">
        <v>74635.12</v>
      </c>
      <c r="W38">
        <f t="shared" si="5"/>
        <v>30094.806451612902</v>
      </c>
      <c r="X38">
        <v>30094.806451612902</v>
      </c>
      <c r="Y38">
        <f t="shared" si="2"/>
        <v>74635.12</v>
      </c>
      <c r="Z38">
        <f t="shared" si="3"/>
        <v>70903.363999999987</v>
      </c>
      <c r="AA38">
        <f t="shared" si="4"/>
        <v>70903</v>
      </c>
    </row>
    <row r="39" spans="2:27">
      <c r="B39" s="38">
        <v>1000</v>
      </c>
      <c r="C39" s="25">
        <v>800</v>
      </c>
      <c r="D39" s="25">
        <v>400</v>
      </c>
      <c r="E39" s="25" t="s">
        <v>33</v>
      </c>
      <c r="F39" s="25">
        <v>2</v>
      </c>
      <c r="G39" s="196" t="s">
        <v>38</v>
      </c>
      <c r="H39" s="25">
        <f t="shared" si="0"/>
        <v>3.04</v>
      </c>
      <c r="M39">
        <f t="shared" si="1"/>
        <v>0</v>
      </c>
      <c r="Q39" t="s">
        <v>1551</v>
      </c>
      <c r="R39" t="s">
        <v>1552</v>
      </c>
      <c r="S39">
        <v>123327.9</v>
      </c>
      <c r="T39" s="207">
        <v>86327.29</v>
      </c>
      <c r="W39">
        <f t="shared" si="5"/>
        <v>28397.13486842105</v>
      </c>
      <c r="X39">
        <v>28397.13486842105</v>
      </c>
      <c r="Y39">
        <f t="shared" si="2"/>
        <v>86327.29</v>
      </c>
      <c r="Z39">
        <f t="shared" si="3"/>
        <v>82010.925499999983</v>
      </c>
      <c r="AA39">
        <f t="shared" si="4"/>
        <v>82011</v>
      </c>
    </row>
    <row r="40" spans="2:27">
      <c r="B40" s="38">
        <v>1200</v>
      </c>
      <c r="C40" s="25">
        <v>600</v>
      </c>
      <c r="D40" s="25">
        <v>200</v>
      </c>
      <c r="E40" s="25" t="s">
        <v>33</v>
      </c>
      <c r="F40" s="25">
        <v>2</v>
      </c>
      <c r="G40" s="196" t="s">
        <v>39</v>
      </c>
      <c r="H40" s="25">
        <f t="shared" si="0"/>
        <v>2.16</v>
      </c>
      <c r="M40">
        <f t="shared" si="1"/>
        <v>0</v>
      </c>
      <c r="T40" s="206"/>
      <c r="W40">
        <f t="shared" si="5"/>
        <v>0</v>
      </c>
      <c r="X40">
        <v>24503.958333333332</v>
      </c>
      <c r="Y40">
        <f t="shared" si="2"/>
        <v>52928.55</v>
      </c>
      <c r="Z40">
        <f t="shared" si="3"/>
        <v>50282.122499999998</v>
      </c>
      <c r="AA40">
        <f t="shared" si="4"/>
        <v>50282</v>
      </c>
    </row>
    <row r="41" spans="2:27">
      <c r="B41" s="38">
        <v>1200</v>
      </c>
      <c r="C41" s="25">
        <v>600</v>
      </c>
      <c r="D41" s="25">
        <v>300</v>
      </c>
      <c r="E41" s="25" t="s">
        <v>33</v>
      </c>
      <c r="F41" s="25">
        <v>2</v>
      </c>
      <c r="G41" s="196" t="s">
        <v>40</v>
      </c>
      <c r="H41" s="25">
        <f t="shared" si="0"/>
        <v>2.52</v>
      </c>
      <c r="M41">
        <f t="shared" si="1"/>
        <v>0</v>
      </c>
      <c r="Q41" t="s">
        <v>1553</v>
      </c>
      <c r="R41" t="s">
        <v>1554</v>
      </c>
      <c r="S41">
        <v>85514.32</v>
      </c>
      <c r="T41" s="207">
        <v>59858.46</v>
      </c>
      <c r="W41">
        <f t="shared" si="5"/>
        <v>23753.357142857141</v>
      </c>
      <c r="X41">
        <v>23753.357142857141</v>
      </c>
      <c r="Y41">
        <f t="shared" si="2"/>
        <v>59858.46</v>
      </c>
      <c r="Z41">
        <f t="shared" si="3"/>
        <v>56865.536999999997</v>
      </c>
      <c r="AA41">
        <f t="shared" si="4"/>
        <v>56866</v>
      </c>
    </row>
    <row r="42" spans="2:27">
      <c r="B42" s="38">
        <v>1200</v>
      </c>
      <c r="C42" s="25">
        <v>800</v>
      </c>
      <c r="D42" s="25">
        <v>300</v>
      </c>
      <c r="E42" s="25" t="s">
        <v>33</v>
      </c>
      <c r="F42" s="25">
        <v>2</v>
      </c>
      <c r="G42" s="196" t="s">
        <v>41</v>
      </c>
      <c r="H42" s="25">
        <f t="shared" si="0"/>
        <v>3.12</v>
      </c>
      <c r="M42">
        <f t="shared" si="1"/>
        <v>0</v>
      </c>
      <c r="Q42" t="s">
        <v>1555</v>
      </c>
      <c r="R42" t="s">
        <v>1556</v>
      </c>
      <c r="S42">
        <v>100919.3</v>
      </c>
      <c r="T42" s="207">
        <v>70641.67</v>
      </c>
      <c r="W42">
        <f t="shared" si="5"/>
        <v>22641.560897435895</v>
      </c>
      <c r="X42">
        <v>22641.560897435895</v>
      </c>
      <c r="Y42">
        <f t="shared" si="2"/>
        <v>70641.67</v>
      </c>
      <c r="Z42">
        <f t="shared" si="3"/>
        <v>67109.58649999999</v>
      </c>
      <c r="AA42">
        <f t="shared" si="4"/>
        <v>67110</v>
      </c>
    </row>
    <row r="43" spans="2:27">
      <c r="B43" s="38">
        <v>1200</v>
      </c>
      <c r="C43" s="25">
        <v>600</v>
      </c>
      <c r="D43" s="25">
        <v>400</v>
      </c>
      <c r="E43" s="25" t="s">
        <v>33</v>
      </c>
      <c r="F43" s="25">
        <v>2</v>
      </c>
      <c r="G43" s="196" t="s">
        <v>42</v>
      </c>
      <c r="H43" s="25">
        <f t="shared" si="0"/>
        <v>2.88</v>
      </c>
      <c r="M43">
        <f t="shared" si="1"/>
        <v>0</v>
      </c>
      <c r="T43" s="206"/>
      <c r="W43">
        <f t="shared" si="5"/>
        <v>0</v>
      </c>
      <c r="X43">
        <v>26581.187500000004</v>
      </c>
      <c r="Y43">
        <f t="shared" si="2"/>
        <v>76553.820000000007</v>
      </c>
      <c r="Z43">
        <f t="shared" si="3"/>
        <v>72726.129000000001</v>
      </c>
      <c r="AA43">
        <f t="shared" si="4"/>
        <v>72726</v>
      </c>
    </row>
    <row r="44" spans="2:27">
      <c r="B44" s="38">
        <v>1200</v>
      </c>
      <c r="C44" s="25">
        <v>800</v>
      </c>
      <c r="D44" s="25">
        <v>400</v>
      </c>
      <c r="E44" s="25" t="s">
        <v>33</v>
      </c>
      <c r="F44" s="25">
        <v>2</v>
      </c>
      <c r="G44" s="196" t="s">
        <v>43</v>
      </c>
      <c r="H44" s="25">
        <f t="shared" si="0"/>
        <v>3.52</v>
      </c>
      <c r="I44">
        <v>44850.599600000001</v>
      </c>
      <c r="M44">
        <f t="shared" si="1"/>
        <v>0</v>
      </c>
      <c r="T44" s="206"/>
      <c r="W44">
        <f t="shared" si="5"/>
        <v>0</v>
      </c>
      <c r="X44">
        <v>23709.19290796619</v>
      </c>
      <c r="Y44">
        <f t="shared" si="2"/>
        <v>83456.359036040987</v>
      </c>
      <c r="Z44">
        <f t="shared" si="3"/>
        <v>79283.541084238939</v>
      </c>
      <c r="AA44">
        <f t="shared" si="4"/>
        <v>79284</v>
      </c>
    </row>
    <row r="45" spans="2:27">
      <c r="B45" s="38">
        <v>1400</v>
      </c>
      <c r="C45" s="25">
        <v>600</v>
      </c>
      <c r="D45" s="25">
        <v>300</v>
      </c>
      <c r="E45" s="25" t="s">
        <v>33</v>
      </c>
      <c r="F45" s="25">
        <v>2</v>
      </c>
      <c r="G45" s="196" t="s">
        <v>44</v>
      </c>
      <c r="H45" s="25">
        <f t="shared" si="0"/>
        <v>2.88</v>
      </c>
      <c r="M45">
        <f t="shared" si="1"/>
        <v>0</v>
      </c>
      <c r="Q45" t="s">
        <v>1557</v>
      </c>
      <c r="R45" t="s">
        <v>1558</v>
      </c>
      <c r="S45">
        <v>109365.44</v>
      </c>
      <c r="T45" s="207">
        <v>76553.820000000007</v>
      </c>
      <c r="W45">
        <f t="shared" si="5"/>
        <v>26581.187500000004</v>
      </c>
      <c r="X45">
        <v>26581.187500000004</v>
      </c>
      <c r="Y45">
        <f t="shared" si="2"/>
        <v>76553.820000000007</v>
      </c>
      <c r="Z45">
        <f t="shared" si="3"/>
        <v>72726.129000000001</v>
      </c>
      <c r="AA45">
        <f t="shared" si="4"/>
        <v>72726</v>
      </c>
    </row>
    <row r="46" spans="2:27" ht="15.75" thickBot="1">
      <c r="B46" s="40">
        <v>1400</v>
      </c>
      <c r="C46" s="41">
        <v>800</v>
      </c>
      <c r="D46" s="41">
        <v>300</v>
      </c>
      <c r="E46" s="41" t="s">
        <v>33</v>
      </c>
      <c r="F46" s="41">
        <v>2</v>
      </c>
      <c r="G46" s="197" t="s">
        <v>45</v>
      </c>
      <c r="H46" s="25">
        <f t="shared" si="0"/>
        <v>3.56</v>
      </c>
      <c r="M46">
        <f t="shared" si="1"/>
        <v>0</v>
      </c>
      <c r="Q46" t="s">
        <v>1559</v>
      </c>
      <c r="R46" t="s">
        <v>1560</v>
      </c>
      <c r="S46">
        <v>129842.7</v>
      </c>
      <c r="T46" s="207">
        <v>90887.52</v>
      </c>
      <c r="W46">
        <f t="shared" si="5"/>
        <v>25530.202247191013</v>
      </c>
      <c r="X46">
        <v>25530.202247191013</v>
      </c>
      <c r="Y46">
        <f t="shared" si="2"/>
        <v>90887.52</v>
      </c>
      <c r="Z46">
        <f t="shared" si="3"/>
        <v>86343.144</v>
      </c>
      <c r="AA46">
        <f t="shared" si="4"/>
        <v>86343</v>
      </c>
    </row>
    <row r="47" spans="2:27" ht="15.75" thickBot="1">
      <c r="M47">
        <f t="shared" si="1"/>
        <v>0</v>
      </c>
    </row>
    <row r="48" spans="2:27" ht="23.25" thickBot="1">
      <c r="J48">
        <v>1019500</v>
      </c>
      <c r="K48" s="199" t="s">
        <v>754</v>
      </c>
      <c r="L48">
        <v>1617.46</v>
      </c>
      <c r="M48">
        <f t="shared" si="1"/>
        <v>117346.723</v>
      </c>
      <c r="N48" s="201" t="s">
        <v>1483</v>
      </c>
      <c r="O48" s="166" t="s">
        <v>1493</v>
      </c>
      <c r="P48" s="167" t="s">
        <v>1494</v>
      </c>
    </row>
  </sheetData>
  <mergeCells count="3">
    <mergeCell ref="B2:G2"/>
    <mergeCell ref="J1:L1"/>
    <mergeCell ref="Q2:T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workbookViewId="0">
      <selection activeCell="E3" sqref="E3"/>
    </sheetView>
  </sheetViews>
  <sheetFormatPr defaultRowHeight="15"/>
  <cols>
    <col min="2" max="2" width="22.85546875" customWidth="1"/>
    <col min="3" max="3" width="28" customWidth="1"/>
    <col min="4" max="4" width="18" customWidth="1"/>
    <col min="5" max="5" width="23" customWidth="1"/>
  </cols>
  <sheetData>
    <row r="2" spans="2:5">
      <c r="B2" s="10" t="s">
        <v>51</v>
      </c>
      <c r="C2" s="10" t="s">
        <v>1431</v>
      </c>
      <c r="D2" s="10" t="s">
        <v>1432</v>
      </c>
      <c r="E2" s="10" t="s">
        <v>1434</v>
      </c>
    </row>
    <row r="3" spans="2:5">
      <c r="B3" s="10" t="s">
        <v>1274</v>
      </c>
      <c r="C3" s="170">
        <v>2774.384885098435</v>
      </c>
      <c r="D3" s="170">
        <v>4254.9120000000003</v>
      </c>
      <c r="E3" s="10">
        <f>(D3/C3-1)*100</f>
        <v>53.364157325598917</v>
      </c>
    </row>
    <row r="4" spans="2:5">
      <c r="B4" s="10" t="s">
        <v>1433</v>
      </c>
      <c r="C4" s="171">
        <v>978.75</v>
      </c>
      <c r="D4" s="170">
        <v>2091.9690000000001</v>
      </c>
      <c r="E4" s="10">
        <f>(D4/C4-1)*100</f>
        <v>113.73885057471264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44"/>
  <sheetViews>
    <sheetView topLeftCell="B1" workbookViewId="0">
      <selection activeCell="P13" sqref="P13"/>
    </sheetView>
  </sheetViews>
  <sheetFormatPr defaultRowHeight="15"/>
  <cols>
    <col min="2" max="2" width="13.85546875" customWidth="1"/>
    <col min="4" max="4" width="11" customWidth="1"/>
  </cols>
  <sheetData>
    <row r="1" spans="5:12">
      <c r="E1">
        <v>0.27</v>
      </c>
      <c r="F1">
        <v>32238.888888888887</v>
      </c>
      <c r="H1">
        <v>0.27</v>
      </c>
      <c r="I1">
        <f>VLOOKUP(H1,$E$1:$F$44,2,FALSE)</f>
        <v>32238.888888888887</v>
      </c>
      <c r="L1">
        <v>32238.888888888887</v>
      </c>
    </row>
    <row r="2" spans="5:12">
      <c r="E2">
        <v>0.45</v>
      </c>
      <c r="F2">
        <v>21750</v>
      </c>
      <c r="H2">
        <v>0.315</v>
      </c>
      <c r="I2">
        <f t="shared" ref="I2:I44" si="0">VLOOKUP(H2,$E$1:$F$44,2,FALSE)</f>
        <v>22038.282112702604</v>
      </c>
      <c r="L2">
        <v>22038.282112702604</v>
      </c>
    </row>
    <row r="3" spans="5:12">
      <c r="E3">
        <v>0.45</v>
      </c>
      <c r="F3">
        <v>21995</v>
      </c>
      <c r="H3">
        <v>0.36</v>
      </c>
      <c r="I3">
        <f t="shared" si="0"/>
        <v>20096.546121194348</v>
      </c>
      <c r="L3">
        <v>20096.546121194348</v>
      </c>
    </row>
    <row r="4" spans="5:12">
      <c r="E4">
        <v>0.64</v>
      </c>
      <c r="F4">
        <v>18418.359375</v>
      </c>
      <c r="H4">
        <v>0.45</v>
      </c>
      <c r="I4">
        <f t="shared" si="0"/>
        <v>21750</v>
      </c>
      <c r="L4">
        <v>21750</v>
      </c>
    </row>
    <row r="5" spans="5:12">
      <c r="E5">
        <v>0.76</v>
      </c>
      <c r="F5">
        <v>18138.157894736843</v>
      </c>
      <c r="H5">
        <v>0.52</v>
      </c>
      <c r="I5">
        <f t="shared" si="0"/>
        <v>19321.6543449282</v>
      </c>
      <c r="L5">
        <v>19321.6543449282</v>
      </c>
    </row>
    <row r="6" spans="5:12">
      <c r="E6">
        <v>0.88</v>
      </c>
      <c r="F6">
        <v>16739.488636363636</v>
      </c>
      <c r="H6">
        <v>0.45</v>
      </c>
      <c r="I6">
        <f t="shared" si="0"/>
        <v>21750</v>
      </c>
      <c r="L6">
        <v>21750</v>
      </c>
    </row>
    <row r="7" spans="5:12">
      <c r="E7">
        <v>0.9</v>
      </c>
      <c r="F7">
        <v>17205</v>
      </c>
      <c r="H7">
        <v>0.52</v>
      </c>
      <c r="I7">
        <f t="shared" si="0"/>
        <v>19321.6543449282</v>
      </c>
      <c r="L7">
        <v>19321.6543449282</v>
      </c>
    </row>
    <row r="8" spans="5:12">
      <c r="E8">
        <v>1.3</v>
      </c>
      <c r="F8">
        <v>15780</v>
      </c>
      <c r="H8">
        <v>0.64</v>
      </c>
      <c r="I8">
        <f t="shared" si="0"/>
        <v>18418.359375</v>
      </c>
      <c r="L8">
        <v>18418.359375</v>
      </c>
    </row>
    <row r="9" spans="5:12">
      <c r="E9">
        <v>1.32</v>
      </c>
      <c r="F9">
        <v>15838.06818181818</v>
      </c>
      <c r="H9">
        <v>0.88</v>
      </c>
      <c r="I9">
        <f>VLOOKUP(H9,$E$1:$F$44,2,FALSE)</f>
        <v>16739.488636363636</v>
      </c>
      <c r="L9">
        <v>16739.488636363636</v>
      </c>
    </row>
    <row r="10" spans="5:12">
      <c r="E10">
        <v>1.8</v>
      </c>
      <c r="F10">
        <v>14610.833333333332</v>
      </c>
      <c r="H10">
        <v>0.54</v>
      </c>
      <c r="I10">
        <f t="shared" si="0"/>
        <v>18963.659671612644</v>
      </c>
      <c r="L10">
        <v>18963.659671612644</v>
      </c>
    </row>
    <row r="11" spans="5:12">
      <c r="E11">
        <v>2.68</v>
      </c>
      <c r="F11">
        <v>13293.47014925373</v>
      </c>
      <c r="H11">
        <v>0.62</v>
      </c>
      <c r="I11">
        <f t="shared" si="0"/>
        <v>18872.041254576452</v>
      </c>
      <c r="L11">
        <v>18872.041254576452</v>
      </c>
    </row>
    <row r="12" spans="5:12">
      <c r="E12">
        <v>3.12</v>
      </c>
      <c r="F12">
        <v>13123.798076923076</v>
      </c>
      <c r="H12">
        <v>0.76</v>
      </c>
      <c r="I12">
        <f t="shared" si="0"/>
        <v>18138.157894736843</v>
      </c>
      <c r="L12">
        <v>18138.157894736843</v>
      </c>
    </row>
    <row r="13" spans="5:12">
      <c r="E13">
        <v>0.315</v>
      </c>
      <c r="F13">
        <f>_xlfn.FORECAST.LINEAR(E13,F1:F12,E1:E12)</f>
        <v>22038.282112702604</v>
      </c>
      <c r="H13">
        <v>0.9</v>
      </c>
      <c r="I13">
        <f t="shared" si="0"/>
        <v>17205</v>
      </c>
      <c r="L13">
        <v>17205</v>
      </c>
    </row>
    <row r="14" spans="5:12">
      <c r="E14">
        <v>0.36</v>
      </c>
      <c r="F14">
        <f>_xlfn.FORECAST.LINEAR(E14,F2:F13,E2:E13)</f>
        <v>20096.546121194348</v>
      </c>
      <c r="H14">
        <v>1.04</v>
      </c>
      <c r="I14">
        <f t="shared" si="0"/>
        <v>17763.346524385834</v>
      </c>
      <c r="L14">
        <v>17763.346524385834</v>
      </c>
    </row>
    <row r="15" spans="5:12">
      <c r="E15">
        <v>0.52</v>
      </c>
      <c r="F15">
        <f t="shared" ref="F15:F44" si="1">_xlfn.FORECAST.LINEAR(E15,F3:F14,E3:E14)</f>
        <v>19321.6543449282</v>
      </c>
      <c r="H15">
        <v>0.85</v>
      </c>
      <c r="I15">
        <f t="shared" si="0"/>
        <v>18401.586107091174</v>
      </c>
      <c r="L15">
        <v>18401.586107091174</v>
      </c>
    </row>
    <row r="16" spans="5:12">
      <c r="E16">
        <v>0.52</v>
      </c>
      <c r="F16">
        <f>_xlfn.FORECAST.LINEAR(E16,F4:F15,E4:E15)</f>
        <v>18968.530233136335</v>
      </c>
      <c r="H16">
        <v>1.1000000000000001</v>
      </c>
      <c r="I16">
        <f t="shared" si="0"/>
        <v>17798.256892513738</v>
      </c>
      <c r="L16">
        <v>17798.256892513738</v>
      </c>
    </row>
    <row r="17" spans="5:12">
      <c r="E17">
        <v>0.88</v>
      </c>
      <c r="F17">
        <f t="shared" si="1"/>
        <v>17999.474521898523</v>
      </c>
      <c r="H17">
        <v>1.26</v>
      </c>
      <c r="I17">
        <f t="shared" si="0"/>
        <v>17475.253593507252</v>
      </c>
      <c r="L17">
        <v>17475.253593507252</v>
      </c>
    </row>
    <row r="18" spans="5:12">
      <c r="E18">
        <v>0.54</v>
      </c>
      <c r="F18">
        <f t="shared" si="1"/>
        <v>18963.659671612644</v>
      </c>
      <c r="H18">
        <v>0.88</v>
      </c>
      <c r="I18">
        <f t="shared" si="0"/>
        <v>16739.488636363636</v>
      </c>
      <c r="L18">
        <v>16739.488636363636</v>
      </c>
    </row>
    <row r="19" spans="5:12">
      <c r="E19">
        <v>0.62</v>
      </c>
      <c r="F19">
        <f t="shared" si="1"/>
        <v>18872.041254576452</v>
      </c>
      <c r="H19">
        <v>1.04</v>
      </c>
      <c r="I19">
        <f t="shared" si="0"/>
        <v>17763.346524385834</v>
      </c>
      <c r="L19">
        <v>17763.346524385834</v>
      </c>
    </row>
    <row r="20" spans="5:12">
      <c r="E20">
        <v>1.04</v>
      </c>
      <c r="F20">
        <f t="shared" si="1"/>
        <v>17763.346524385834</v>
      </c>
      <c r="H20">
        <v>0.98</v>
      </c>
      <c r="I20">
        <f t="shared" si="0"/>
        <v>18027.726671034845</v>
      </c>
      <c r="L20">
        <v>18027.726671034845</v>
      </c>
    </row>
    <row r="21" spans="5:12">
      <c r="E21">
        <v>0.85</v>
      </c>
      <c r="F21">
        <f t="shared" si="1"/>
        <v>18401.586107091174</v>
      </c>
      <c r="H21">
        <v>1.32</v>
      </c>
      <c r="I21">
        <f t="shared" si="0"/>
        <v>15838.06818181818</v>
      </c>
      <c r="L21">
        <v>15838.06818181818</v>
      </c>
    </row>
    <row r="22" spans="5:12">
      <c r="E22">
        <v>1.1000000000000001</v>
      </c>
      <c r="F22">
        <f t="shared" si="1"/>
        <v>17798.256892513738</v>
      </c>
      <c r="H22">
        <v>1.28</v>
      </c>
      <c r="I22">
        <f t="shared" si="0"/>
        <v>17273.21532046155</v>
      </c>
      <c r="L22">
        <v>17273.21532046155</v>
      </c>
    </row>
    <row r="23" spans="5:12">
      <c r="E23">
        <v>1.26</v>
      </c>
      <c r="F23">
        <f t="shared" si="1"/>
        <v>17475.253593507252</v>
      </c>
      <c r="H23">
        <v>1.68</v>
      </c>
      <c r="I23">
        <f t="shared" si="0"/>
        <v>16430.910400362853</v>
      </c>
      <c r="L23">
        <v>16430.910400362853</v>
      </c>
    </row>
    <row r="24" spans="5:12">
      <c r="E24">
        <v>1.04</v>
      </c>
      <c r="F24">
        <f t="shared" si="1"/>
        <v>18108.935488653773</v>
      </c>
      <c r="H24">
        <v>1.18</v>
      </c>
      <c r="I24">
        <f t="shared" si="0"/>
        <v>17572.498180697679</v>
      </c>
      <c r="L24">
        <v>17572.498180697679</v>
      </c>
    </row>
    <row r="25" spans="5:12">
      <c r="E25">
        <v>0.98</v>
      </c>
      <c r="F25">
        <f t="shared" si="1"/>
        <v>18027.726671034845</v>
      </c>
      <c r="H25">
        <v>1.3</v>
      </c>
      <c r="I25">
        <f t="shared" si="0"/>
        <v>15780</v>
      </c>
      <c r="L25">
        <v>15780</v>
      </c>
    </row>
    <row r="26" spans="5:12">
      <c r="E26">
        <v>1.28</v>
      </c>
      <c r="F26">
        <f t="shared" si="1"/>
        <v>17273.21532046155</v>
      </c>
      <c r="H26">
        <v>1.52</v>
      </c>
      <c r="I26">
        <f t="shared" si="0"/>
        <v>16815.795484012815</v>
      </c>
      <c r="L26">
        <v>16815.795484012815</v>
      </c>
    </row>
    <row r="27" spans="5:12">
      <c r="E27">
        <v>1.68</v>
      </c>
      <c r="F27">
        <f t="shared" si="1"/>
        <v>16430.910400362853</v>
      </c>
      <c r="H27">
        <v>1.92</v>
      </c>
      <c r="I27">
        <f t="shared" si="0"/>
        <v>15909.827958328926</v>
      </c>
      <c r="L27">
        <v>15909.827958328926</v>
      </c>
    </row>
    <row r="28" spans="5:12">
      <c r="E28">
        <v>1.18</v>
      </c>
      <c r="F28">
        <f t="shared" si="1"/>
        <v>17572.498180697679</v>
      </c>
      <c r="H28">
        <v>1.66</v>
      </c>
      <c r="I28">
        <f t="shared" si="0"/>
        <v>16489.921307999819</v>
      </c>
      <c r="L28">
        <v>16489.921307999819</v>
      </c>
    </row>
    <row r="29" spans="5:12">
      <c r="E29">
        <v>1.52</v>
      </c>
      <c r="F29">
        <f t="shared" si="1"/>
        <v>16815.795484012815</v>
      </c>
      <c r="H29">
        <v>1.8</v>
      </c>
      <c r="I29">
        <f t="shared" si="0"/>
        <v>14610.833333333332</v>
      </c>
      <c r="L29">
        <v>14610.833333333332</v>
      </c>
    </row>
    <row r="30" spans="5:12">
      <c r="E30">
        <v>1.92</v>
      </c>
      <c r="F30">
        <f t="shared" si="1"/>
        <v>15909.827958328926</v>
      </c>
      <c r="H30">
        <v>2.2400000000000002</v>
      </c>
      <c r="I30">
        <f t="shared" si="0"/>
        <v>15144.738120555516</v>
      </c>
      <c r="L30">
        <v>15144.738120555516</v>
      </c>
    </row>
    <row r="31" spans="5:12">
      <c r="E31">
        <v>1.66</v>
      </c>
      <c r="F31">
        <f t="shared" si="1"/>
        <v>16489.921307999819</v>
      </c>
      <c r="H31">
        <v>2.08</v>
      </c>
      <c r="I31">
        <f t="shared" si="0"/>
        <v>15508.351236589477</v>
      </c>
      <c r="L31">
        <v>15508.351236589477</v>
      </c>
    </row>
    <row r="32" spans="5:12">
      <c r="E32">
        <v>2.2400000000000002</v>
      </c>
      <c r="F32">
        <f t="shared" si="1"/>
        <v>15144.738120555516</v>
      </c>
      <c r="H32">
        <v>2.56</v>
      </c>
      <c r="I32">
        <f t="shared" si="0"/>
        <v>14384.895483861712</v>
      </c>
      <c r="L32">
        <v>14384.895483861712</v>
      </c>
    </row>
    <row r="33" spans="5:12">
      <c r="E33">
        <v>2.08</v>
      </c>
      <c r="F33">
        <f t="shared" si="1"/>
        <v>15508.351236589477</v>
      </c>
      <c r="H33">
        <v>2</v>
      </c>
      <c r="I33">
        <f t="shared" si="0"/>
        <v>15696.75352844995</v>
      </c>
      <c r="L33">
        <v>15696.75352844995</v>
      </c>
    </row>
    <row r="34" spans="5:12">
      <c r="E34">
        <v>2.56</v>
      </c>
      <c r="F34">
        <f t="shared" si="1"/>
        <v>14384.895483861712</v>
      </c>
      <c r="H34">
        <v>2.16</v>
      </c>
      <c r="I34">
        <f t="shared" si="0"/>
        <v>15321.324545157569</v>
      </c>
      <c r="L34">
        <v>15321.324545157569</v>
      </c>
    </row>
    <row r="35" spans="5:12">
      <c r="E35">
        <v>2</v>
      </c>
      <c r="F35">
        <f t="shared" si="1"/>
        <v>15696.75352844995</v>
      </c>
      <c r="H35">
        <v>2.68</v>
      </c>
      <c r="I35">
        <f t="shared" si="0"/>
        <v>13293.47014925373</v>
      </c>
      <c r="L35">
        <v>13293.47014925373</v>
      </c>
    </row>
    <row r="36" spans="5:12">
      <c r="E36">
        <v>2.16</v>
      </c>
      <c r="F36">
        <f t="shared" si="1"/>
        <v>15321.324545157569</v>
      </c>
      <c r="H36">
        <v>2.48</v>
      </c>
      <c r="I36">
        <f t="shared" si="0"/>
        <v>14595.117552417534</v>
      </c>
      <c r="L36">
        <v>14595.117552417534</v>
      </c>
    </row>
    <row r="37" spans="5:12">
      <c r="E37">
        <v>2.48</v>
      </c>
      <c r="F37">
        <f t="shared" si="1"/>
        <v>14595.117552417534</v>
      </c>
      <c r="H37">
        <v>3.04</v>
      </c>
      <c r="I37">
        <f t="shared" si="0"/>
        <v>13315.928667670345</v>
      </c>
      <c r="L37">
        <v>13315.928667670345</v>
      </c>
    </row>
    <row r="38" spans="5:12">
      <c r="E38">
        <v>3.04</v>
      </c>
      <c r="F38">
        <f t="shared" si="1"/>
        <v>13315.928667670345</v>
      </c>
      <c r="H38">
        <v>2.16</v>
      </c>
      <c r="I38">
        <f t="shared" si="0"/>
        <v>15321.324545157569</v>
      </c>
      <c r="L38">
        <v>15321.324545157569</v>
      </c>
    </row>
    <row r="39" spans="5:12">
      <c r="E39">
        <v>2.16</v>
      </c>
      <c r="F39">
        <f t="shared" si="1"/>
        <v>15330.1989215298</v>
      </c>
      <c r="H39">
        <v>2.52</v>
      </c>
      <c r="I39">
        <f t="shared" si="0"/>
        <v>14501.334198893401</v>
      </c>
      <c r="L39">
        <v>14501.334198893401</v>
      </c>
    </row>
    <row r="40" spans="5:12">
      <c r="E40">
        <v>2.52</v>
      </c>
      <c r="F40">
        <f t="shared" si="1"/>
        <v>14501.334198893401</v>
      </c>
      <c r="H40">
        <v>3.12</v>
      </c>
      <c r="I40">
        <f t="shared" si="0"/>
        <v>13123.798076923076</v>
      </c>
      <c r="L40">
        <v>13123.798076923076</v>
      </c>
    </row>
    <row r="41" spans="5:12">
      <c r="E41">
        <v>2.88</v>
      </c>
      <c r="F41">
        <f t="shared" si="1"/>
        <v>13667.848805755501</v>
      </c>
      <c r="H41">
        <v>2.88</v>
      </c>
      <c r="I41">
        <f t="shared" si="0"/>
        <v>13667.848805755501</v>
      </c>
      <c r="L41">
        <v>13667.848805755501</v>
      </c>
    </row>
    <row r="42" spans="5:12">
      <c r="E42">
        <v>3.52</v>
      </c>
      <c r="F42">
        <f t="shared" si="1"/>
        <v>12190.539470108892</v>
      </c>
      <c r="H42">
        <v>3.52</v>
      </c>
      <c r="I42">
        <f t="shared" si="0"/>
        <v>12190.539470108892</v>
      </c>
      <c r="L42">
        <v>12190.539470108892</v>
      </c>
    </row>
    <row r="43" spans="5:12">
      <c r="E43">
        <v>2.88</v>
      </c>
      <c r="F43">
        <f t="shared" si="1"/>
        <v>13668.514666658546</v>
      </c>
      <c r="H43">
        <v>2.88</v>
      </c>
      <c r="I43">
        <f t="shared" si="0"/>
        <v>13667.848805755501</v>
      </c>
      <c r="L43">
        <v>13667.848805755501</v>
      </c>
    </row>
    <row r="44" spans="5:12">
      <c r="E44">
        <v>3.56</v>
      </c>
      <c r="F44">
        <f t="shared" si="1"/>
        <v>12103.834578306456</v>
      </c>
      <c r="H44">
        <v>3.56</v>
      </c>
      <c r="I44">
        <f t="shared" si="0"/>
        <v>12103.834578306456</v>
      </c>
      <c r="L44">
        <v>12103.834578306456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4"/>
  <sheetViews>
    <sheetView workbookViewId="0">
      <selection activeCell="B2" sqref="B2:D34"/>
    </sheetView>
  </sheetViews>
  <sheetFormatPr defaultRowHeight="15"/>
  <cols>
    <col min="2" max="2" width="11.28515625" customWidth="1"/>
    <col min="3" max="3" width="76.42578125" customWidth="1"/>
  </cols>
  <sheetData>
    <row r="2" spans="2:4">
      <c r="B2" t="s">
        <v>1495</v>
      </c>
      <c r="C2" t="s">
        <v>1496</v>
      </c>
      <c r="D2">
        <v>21684.53</v>
      </c>
    </row>
    <row r="3" spans="2:4">
      <c r="B3" t="s">
        <v>1497</v>
      </c>
      <c r="C3" t="s">
        <v>1498</v>
      </c>
      <c r="D3">
        <v>23771.11</v>
      </c>
    </row>
    <row r="4" spans="2:4">
      <c r="B4" t="s">
        <v>1499</v>
      </c>
      <c r="C4" t="s">
        <v>1500</v>
      </c>
      <c r="D4">
        <v>20632.7</v>
      </c>
    </row>
    <row r="5" spans="2:4">
      <c r="B5" t="s">
        <v>1501</v>
      </c>
      <c r="C5" t="s">
        <v>1502</v>
      </c>
      <c r="D5">
        <v>23835.21</v>
      </c>
    </row>
    <row r="6" spans="2:4">
      <c r="B6" t="s">
        <v>1503</v>
      </c>
      <c r="C6" t="s">
        <v>1504</v>
      </c>
      <c r="D6">
        <v>27932.76</v>
      </c>
    </row>
    <row r="7" spans="2:4">
      <c r="B7" t="s">
        <v>1505</v>
      </c>
      <c r="C7" t="s">
        <v>1506</v>
      </c>
      <c r="D7">
        <v>31491.77</v>
      </c>
    </row>
    <row r="8" spans="2:4">
      <c r="B8" t="s">
        <v>1507</v>
      </c>
      <c r="C8" t="s">
        <v>1508</v>
      </c>
      <c r="D8">
        <v>37124.400000000001</v>
      </c>
    </row>
    <row r="9" spans="2:4">
      <c r="B9" t="s">
        <v>1509</v>
      </c>
      <c r="C9" t="s">
        <v>1510</v>
      </c>
      <c r="D9">
        <v>26181.97</v>
      </c>
    </row>
    <row r="10" spans="2:4">
      <c r="B10" t="s">
        <v>1511</v>
      </c>
      <c r="C10" t="s">
        <v>1512</v>
      </c>
      <c r="D10">
        <v>31233.88</v>
      </c>
    </row>
    <row r="11" spans="2:4">
      <c r="B11" t="s">
        <v>1513</v>
      </c>
      <c r="C11" t="s">
        <v>1514</v>
      </c>
      <c r="D11">
        <v>34472.769999999997</v>
      </c>
    </row>
    <row r="12" spans="2:4">
      <c r="B12" t="s">
        <v>1515</v>
      </c>
      <c r="C12" t="s">
        <v>1516</v>
      </c>
      <c r="D12">
        <v>39029.01</v>
      </c>
    </row>
    <row r="13" spans="2:4">
      <c r="B13" t="s">
        <v>1517</v>
      </c>
      <c r="C13" t="s">
        <v>1518</v>
      </c>
      <c r="D13">
        <v>37703.769999999997</v>
      </c>
    </row>
    <row r="14" spans="2:4">
      <c r="B14" t="s">
        <v>1519</v>
      </c>
      <c r="C14" t="s">
        <v>1520</v>
      </c>
      <c r="D14">
        <v>37338.230000000003</v>
      </c>
    </row>
    <row r="15" spans="2:4">
      <c r="B15" t="s">
        <v>1521</v>
      </c>
      <c r="C15" t="s">
        <v>1522</v>
      </c>
      <c r="D15">
        <v>71967.740000000005</v>
      </c>
    </row>
    <row r="16" spans="2:4">
      <c r="B16" t="s">
        <v>1523</v>
      </c>
      <c r="C16" t="s">
        <v>1524</v>
      </c>
      <c r="D16">
        <v>42043.42</v>
      </c>
    </row>
    <row r="17" spans="2:4">
      <c r="B17" t="s">
        <v>1525</v>
      </c>
      <c r="C17" t="s">
        <v>1526</v>
      </c>
      <c r="D17">
        <v>73272.55</v>
      </c>
    </row>
    <row r="18" spans="2:4">
      <c r="B18" t="s">
        <v>1527</v>
      </c>
      <c r="C18" t="s">
        <v>1528</v>
      </c>
      <c r="D18">
        <v>49864.89</v>
      </c>
    </row>
    <row r="19" spans="2:4">
      <c r="B19" t="s">
        <v>1529</v>
      </c>
      <c r="C19" t="s">
        <v>1530</v>
      </c>
      <c r="D19">
        <v>46390.2</v>
      </c>
    </row>
    <row r="20" spans="2:4">
      <c r="B20" t="s">
        <v>1531</v>
      </c>
      <c r="C20" t="s">
        <v>1532</v>
      </c>
      <c r="D20">
        <v>51510.69</v>
      </c>
    </row>
    <row r="21" spans="2:4">
      <c r="B21" t="s">
        <v>1533</v>
      </c>
      <c r="C21" t="s">
        <v>1534</v>
      </c>
      <c r="D21">
        <v>66610.8</v>
      </c>
    </row>
    <row r="22" spans="2:4">
      <c r="B22" t="s">
        <v>1535</v>
      </c>
      <c r="C22" t="s">
        <v>1536</v>
      </c>
      <c r="D22">
        <v>95290.27</v>
      </c>
    </row>
    <row r="23" spans="2:4">
      <c r="B23" t="s">
        <v>1537</v>
      </c>
      <c r="C23" t="s">
        <v>1538</v>
      </c>
      <c r="D23">
        <v>60719.74</v>
      </c>
    </row>
    <row r="24" spans="2:4">
      <c r="B24" t="s">
        <v>1539</v>
      </c>
      <c r="C24" t="s">
        <v>1540</v>
      </c>
      <c r="D24">
        <v>77726.42</v>
      </c>
    </row>
    <row r="25" spans="2:4">
      <c r="B25" t="s">
        <v>1541</v>
      </c>
      <c r="C25" t="s">
        <v>1542</v>
      </c>
      <c r="D25">
        <v>109768.3</v>
      </c>
    </row>
    <row r="26" spans="2:4">
      <c r="B26" t="s">
        <v>1543</v>
      </c>
      <c r="C26" t="s">
        <v>1544</v>
      </c>
      <c r="D26">
        <v>75614.179999999993</v>
      </c>
    </row>
    <row r="27" spans="2:4">
      <c r="B27" t="s">
        <v>1545</v>
      </c>
      <c r="C27" t="s">
        <v>1546</v>
      </c>
      <c r="D27">
        <v>106624.36</v>
      </c>
    </row>
    <row r="28" spans="2:4">
      <c r="B28" t="s">
        <v>1547</v>
      </c>
      <c r="C28" t="s">
        <v>1548</v>
      </c>
      <c r="D28">
        <v>69450.710000000006</v>
      </c>
    </row>
    <row r="29" spans="2:4">
      <c r="B29" t="s">
        <v>1549</v>
      </c>
      <c r="C29" t="s">
        <v>1550</v>
      </c>
      <c r="D29">
        <v>92924.67</v>
      </c>
    </row>
    <row r="30" spans="2:4">
      <c r="B30" t="s">
        <v>1551</v>
      </c>
      <c r="C30" t="s">
        <v>1552</v>
      </c>
      <c r="D30">
        <v>123327.9</v>
      </c>
    </row>
    <row r="31" spans="2:4">
      <c r="B31" t="s">
        <v>1553</v>
      </c>
      <c r="C31" t="s">
        <v>1554</v>
      </c>
      <c r="D31">
        <v>85514.32</v>
      </c>
    </row>
    <row r="32" spans="2:4">
      <c r="B32" t="s">
        <v>1555</v>
      </c>
      <c r="C32" t="s">
        <v>1556</v>
      </c>
      <c r="D32">
        <v>100919.3</v>
      </c>
    </row>
    <row r="33" spans="2:4">
      <c r="B33" t="s">
        <v>1557</v>
      </c>
      <c r="C33" t="s">
        <v>1558</v>
      </c>
      <c r="D33">
        <v>109365.44</v>
      </c>
    </row>
    <row r="34" spans="2:4">
      <c r="B34" t="s">
        <v>1559</v>
      </c>
      <c r="C34" t="s">
        <v>1560</v>
      </c>
      <c r="D34">
        <v>129842.7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W47"/>
  <sheetViews>
    <sheetView zoomScale="85" zoomScaleNormal="85" workbookViewId="0">
      <selection activeCell="E16" sqref="E16"/>
    </sheetView>
  </sheetViews>
  <sheetFormatPr defaultRowHeight="15"/>
  <cols>
    <col min="21" max="21" width="10.28515625" bestFit="1" customWidth="1"/>
  </cols>
  <sheetData>
    <row r="3" spans="3:23">
      <c r="C3">
        <v>300</v>
      </c>
      <c r="D3">
        <v>0.27</v>
      </c>
      <c r="E3" s="211">
        <f>_xlfn.FORECAST.LINEAR(D3,E4:E6,D4:D6)</f>
        <v>48442.696428571435</v>
      </c>
      <c r="T3">
        <v>0.27</v>
      </c>
      <c r="U3">
        <f>VLOOKUP(T3,$P$4:$Q$46,2,FALSE)</f>
        <v>35948.291611297929</v>
      </c>
      <c r="W3">
        <v>35948.291611297936</v>
      </c>
    </row>
    <row r="4" spans="3:23">
      <c r="D4">
        <v>0.315</v>
      </c>
      <c r="E4">
        <v>45849.238095238099</v>
      </c>
      <c r="P4">
        <v>0.315</v>
      </c>
      <c r="Q4">
        <v>45849.238095238099</v>
      </c>
      <c r="T4">
        <v>0.315</v>
      </c>
      <c r="U4">
        <f>VLOOKUP(T4,$P$4:$Q$46,2,FALSE)</f>
        <v>45849.238095238099</v>
      </c>
      <c r="W4">
        <v>45849.238095238099</v>
      </c>
    </row>
    <row r="5" spans="3:23">
      <c r="D5">
        <v>0.36</v>
      </c>
      <c r="E5">
        <v>42163.25</v>
      </c>
      <c r="P5">
        <v>0.36</v>
      </c>
      <c r="Q5">
        <v>42163.25</v>
      </c>
      <c r="T5">
        <v>0.36</v>
      </c>
      <c r="U5">
        <f t="shared" ref="U5:U46" si="0">VLOOKUP(T5,$P$4:$Q$46,2,FALSE)</f>
        <v>42163.25</v>
      </c>
      <c r="W5">
        <v>42163.25</v>
      </c>
    </row>
    <row r="6" spans="3:23">
      <c r="D6">
        <v>0.45</v>
      </c>
      <c r="E6">
        <v>36976.333333333328</v>
      </c>
      <c r="P6">
        <v>0.45</v>
      </c>
      <c r="Q6">
        <v>36976.333333333328</v>
      </c>
      <c r="T6">
        <v>0.45</v>
      </c>
      <c r="U6">
        <f t="shared" si="0"/>
        <v>36976.333333333328</v>
      </c>
      <c r="W6">
        <v>36976.333333333328</v>
      </c>
    </row>
    <row r="7" spans="3:23">
      <c r="D7">
        <v>0.52</v>
      </c>
      <c r="E7" s="211">
        <f>_xlfn.FORECAST.LINEAR(D7,E3:E6,D3:D6)</f>
        <v>32300.420351473898</v>
      </c>
      <c r="P7">
        <v>0.45</v>
      </c>
      <c r="Q7">
        <v>37076.022222222222</v>
      </c>
      <c r="T7">
        <v>0.52</v>
      </c>
      <c r="U7">
        <f t="shared" si="0"/>
        <v>37600.807692307688</v>
      </c>
      <c r="W7">
        <v>37600.807692307688</v>
      </c>
    </row>
    <row r="8" spans="3:23">
      <c r="C8">
        <v>400</v>
      </c>
      <c r="D8">
        <v>0.45</v>
      </c>
      <c r="E8">
        <v>37076.022222222222</v>
      </c>
      <c r="P8">
        <v>0.52</v>
      </c>
      <c r="Q8">
        <v>37600.807692307688</v>
      </c>
      <c r="T8">
        <v>0.45</v>
      </c>
      <c r="U8">
        <f t="shared" si="0"/>
        <v>36976.333333333328</v>
      </c>
      <c r="W8">
        <v>36976.333333333328</v>
      </c>
    </row>
    <row r="9" spans="3:23">
      <c r="D9">
        <v>0.52</v>
      </c>
      <c r="E9">
        <v>37600.807692307688</v>
      </c>
      <c r="P9">
        <v>0.54</v>
      </c>
      <c r="Q9">
        <v>33938.703703703701</v>
      </c>
      <c r="T9">
        <v>0.52</v>
      </c>
      <c r="U9">
        <f t="shared" si="0"/>
        <v>37600.807692307688</v>
      </c>
      <c r="W9">
        <v>37600.807692307688</v>
      </c>
    </row>
    <row r="10" spans="3:23">
      <c r="D10">
        <v>0.64</v>
      </c>
      <c r="E10">
        <v>34443.21875</v>
      </c>
      <c r="P10">
        <v>0.62</v>
      </c>
      <c r="Q10">
        <v>35263.129032258061</v>
      </c>
      <c r="T10">
        <v>0.64</v>
      </c>
      <c r="U10">
        <f t="shared" si="0"/>
        <v>34443.21875</v>
      </c>
      <c r="W10">
        <v>34443.21875</v>
      </c>
    </row>
    <row r="11" spans="3:23">
      <c r="D11">
        <v>0.88</v>
      </c>
      <c r="E11">
        <v>29530.011363636364</v>
      </c>
      <c r="P11">
        <v>0.64</v>
      </c>
      <c r="Q11">
        <v>34443.21875</v>
      </c>
      <c r="T11">
        <v>0.88</v>
      </c>
      <c r="U11">
        <f t="shared" si="0"/>
        <v>29530.011363636364</v>
      </c>
      <c r="W11">
        <v>29530.011363636364</v>
      </c>
    </row>
    <row r="12" spans="3:23">
      <c r="C12">
        <v>500</v>
      </c>
      <c r="D12">
        <v>0.54</v>
      </c>
      <c r="E12">
        <v>33938.703703703701</v>
      </c>
      <c r="P12">
        <v>0.76</v>
      </c>
      <c r="Q12">
        <v>31750.407894736843</v>
      </c>
      <c r="T12">
        <v>0.54</v>
      </c>
      <c r="U12">
        <f t="shared" si="0"/>
        <v>33938.703703703701</v>
      </c>
      <c r="W12">
        <v>33938.703703703701</v>
      </c>
    </row>
    <row r="13" spans="3:23">
      <c r="D13">
        <v>0.62</v>
      </c>
      <c r="E13">
        <v>35263.129032258061</v>
      </c>
      <c r="P13">
        <v>0.85</v>
      </c>
      <c r="Q13">
        <v>32140.694117647061</v>
      </c>
      <c r="T13">
        <v>0.62</v>
      </c>
      <c r="U13">
        <f t="shared" si="0"/>
        <v>35263.129032258061</v>
      </c>
      <c r="W13">
        <v>35263.129032258061</v>
      </c>
    </row>
    <row r="14" spans="3:23">
      <c r="D14">
        <v>0.76</v>
      </c>
      <c r="E14">
        <v>31750.407894736843</v>
      </c>
      <c r="P14">
        <v>0.88</v>
      </c>
      <c r="Q14">
        <v>29530.011363636364</v>
      </c>
      <c r="T14">
        <v>0.76</v>
      </c>
      <c r="U14">
        <f t="shared" si="0"/>
        <v>31750.407894736843</v>
      </c>
      <c r="W14">
        <v>31750.407894736843</v>
      </c>
    </row>
    <row r="15" spans="3:23">
      <c r="D15">
        <v>0.9</v>
      </c>
      <c r="E15">
        <v>29324.388888888891</v>
      </c>
      <c r="P15">
        <v>0.88</v>
      </c>
      <c r="Q15">
        <v>29700.090909090912</v>
      </c>
      <c r="T15">
        <v>0.9</v>
      </c>
      <c r="U15">
        <f t="shared" si="0"/>
        <v>29324.388888888891</v>
      </c>
      <c r="W15">
        <v>29324.388888888891</v>
      </c>
    </row>
    <row r="16" spans="3:23">
      <c r="D16">
        <v>1.04</v>
      </c>
      <c r="E16">
        <f>_xlfn.FORECAST.LINEAR(D16,E12:E15,D12:D15)</f>
        <v>27543.164309849497</v>
      </c>
      <c r="P16">
        <v>0.9</v>
      </c>
      <c r="Q16">
        <v>29324.388888888891</v>
      </c>
      <c r="T16">
        <v>1.04</v>
      </c>
      <c r="U16">
        <f t="shared" si="0"/>
        <v>31707.527938718507</v>
      </c>
      <c r="W16">
        <v>31710.959012627853</v>
      </c>
    </row>
    <row r="17" spans="3:23">
      <c r="D17">
        <v>0.85</v>
      </c>
      <c r="E17">
        <v>32140.694117647061</v>
      </c>
      <c r="P17">
        <v>0.98</v>
      </c>
      <c r="Q17">
        <v>30030.244897959183</v>
      </c>
      <c r="T17">
        <v>0.85</v>
      </c>
      <c r="U17">
        <f t="shared" si="0"/>
        <v>32140.694117647061</v>
      </c>
      <c r="W17">
        <v>32140.694117647061</v>
      </c>
    </row>
    <row r="18" spans="3:23">
      <c r="D18">
        <v>1.1000000000000001</v>
      </c>
      <c r="E18" s="211">
        <f>_xlfn.FORECAST.LINEAR(D18,E12:E17,D12:D17)</f>
        <v>27144.121951408561</v>
      </c>
      <c r="P18">
        <v>1.18</v>
      </c>
      <c r="Q18">
        <v>27518.889830508477</v>
      </c>
      <c r="T18">
        <v>1.1000000000000001</v>
      </c>
      <c r="U18">
        <f t="shared" si="0"/>
        <v>31160.417526361503</v>
      </c>
      <c r="W18">
        <v>31341.426398220014</v>
      </c>
    </row>
    <row r="19" spans="3:23">
      <c r="D19">
        <v>1.26</v>
      </c>
      <c r="E19" s="211">
        <f>_xlfn.FORECAST.LINEAR(D19,E13:E18,D13:D18)</f>
        <v>24042.983723829191</v>
      </c>
      <c r="P19">
        <v>1.28</v>
      </c>
      <c r="Q19">
        <v>39356.328125</v>
      </c>
      <c r="T19">
        <v>1.26</v>
      </c>
      <c r="U19">
        <f t="shared" si="0"/>
        <v>30430.77006292537</v>
      </c>
      <c r="W19">
        <v>30634.881078012622</v>
      </c>
    </row>
    <row r="20" spans="3:23">
      <c r="C20">
        <v>600</v>
      </c>
      <c r="D20">
        <v>0.88</v>
      </c>
      <c r="E20">
        <v>29700.090909090901</v>
      </c>
      <c r="P20">
        <v>1.3</v>
      </c>
      <c r="Q20">
        <v>27735.8</v>
      </c>
      <c r="T20">
        <v>0.88</v>
      </c>
      <c r="U20">
        <f t="shared" si="0"/>
        <v>29530.011363636364</v>
      </c>
      <c r="W20">
        <v>29530.011363636364</v>
      </c>
    </row>
    <row r="21" spans="3:23">
      <c r="D21">
        <v>1.04</v>
      </c>
      <c r="E21" s="211">
        <f>_xlfn.FORECAST.LINEAR(D21,E22:E25,D22:D25)</f>
        <v>31770.450847558368</v>
      </c>
      <c r="P21">
        <v>1.32</v>
      </c>
      <c r="Q21">
        <v>26442.810606060608</v>
      </c>
      <c r="T21">
        <v>1.04</v>
      </c>
      <c r="U21">
        <f t="shared" si="0"/>
        <v>31707.527938718507</v>
      </c>
      <c r="W21">
        <v>31710.959012627853</v>
      </c>
    </row>
    <row r="22" spans="3:23">
      <c r="D22">
        <v>0.98</v>
      </c>
      <c r="E22">
        <v>30030.244897959183</v>
      </c>
      <c r="P22">
        <v>1.66</v>
      </c>
      <c r="Q22">
        <v>25604.048192771086</v>
      </c>
      <c r="T22">
        <v>0.98</v>
      </c>
      <c r="U22">
        <f t="shared" si="0"/>
        <v>30030.244897959183</v>
      </c>
      <c r="W22">
        <v>30030.244897959183</v>
      </c>
    </row>
    <row r="23" spans="3:23">
      <c r="D23">
        <v>1.32</v>
      </c>
      <c r="E23">
        <v>26442.810606060608</v>
      </c>
      <c r="P23">
        <v>1.68</v>
      </c>
      <c r="Q23">
        <v>30529.434523809523</v>
      </c>
      <c r="T23">
        <v>1.32</v>
      </c>
      <c r="U23">
        <f t="shared" si="0"/>
        <v>26442.810606060608</v>
      </c>
      <c r="W23">
        <v>26442.810606060608</v>
      </c>
    </row>
    <row r="24" spans="3:23">
      <c r="D24">
        <v>1.28</v>
      </c>
      <c r="E24">
        <v>39356.328125</v>
      </c>
      <c r="P24">
        <v>1.8</v>
      </c>
      <c r="Q24">
        <v>25903.527777777777</v>
      </c>
      <c r="T24">
        <v>1.28</v>
      </c>
      <c r="U24">
        <f t="shared" si="0"/>
        <v>39356.328125</v>
      </c>
      <c r="W24">
        <v>39356.328125</v>
      </c>
    </row>
    <row r="25" spans="3:23">
      <c r="D25">
        <v>1.68</v>
      </c>
      <c r="E25">
        <v>30529.434523809523</v>
      </c>
      <c r="P25">
        <v>2</v>
      </c>
      <c r="Q25">
        <v>24307.11</v>
      </c>
      <c r="T25">
        <v>1.68</v>
      </c>
      <c r="U25">
        <f t="shared" si="0"/>
        <v>30529.434523809523</v>
      </c>
      <c r="W25">
        <v>30529.434523809523</v>
      </c>
    </row>
    <row r="26" spans="3:23">
      <c r="C26">
        <v>700</v>
      </c>
      <c r="D26">
        <v>1.18</v>
      </c>
      <c r="E26">
        <v>27518.889830508477</v>
      </c>
      <c r="P26">
        <v>2.08</v>
      </c>
      <c r="Q26">
        <v>32068.004807692305</v>
      </c>
      <c r="T26">
        <v>1.18</v>
      </c>
      <c r="U26">
        <f t="shared" si="0"/>
        <v>27518.889830508477</v>
      </c>
      <c r="W26">
        <v>27518.889830508477</v>
      </c>
    </row>
    <row r="27" spans="3:23">
      <c r="D27">
        <v>1.3</v>
      </c>
      <c r="E27">
        <v>27735.8</v>
      </c>
      <c r="P27">
        <v>2.16</v>
      </c>
      <c r="Q27">
        <v>24503.958333333332</v>
      </c>
      <c r="T27">
        <v>1.3</v>
      </c>
      <c r="U27">
        <f t="shared" si="0"/>
        <v>27735.8</v>
      </c>
      <c r="W27">
        <v>27735.8</v>
      </c>
    </row>
    <row r="28" spans="3:23">
      <c r="C28">
        <v>800</v>
      </c>
      <c r="D28">
        <v>1.52</v>
      </c>
      <c r="E28" s="211">
        <f>_xlfn.FORECAST.LINEAR(D28,E29:E34,D29:D34)</f>
        <v>25490.620486606516</v>
      </c>
      <c r="P28">
        <v>2.2400000000000002</v>
      </c>
      <c r="Q28">
        <v>24288.875</v>
      </c>
      <c r="T28">
        <v>1.52</v>
      </c>
      <c r="U28">
        <f t="shared" si="0"/>
        <v>29578.481825309755</v>
      </c>
      <c r="W28">
        <v>29552.400477567608</v>
      </c>
    </row>
    <row r="29" spans="3:23">
      <c r="D29">
        <v>1.92</v>
      </c>
      <c r="E29" s="211">
        <f>_xlfn.FORECAST.LINEAR(D29,E30:E34,D30:D34)</f>
        <v>27012.568169301201</v>
      </c>
      <c r="P29">
        <v>2.48</v>
      </c>
      <c r="Q29">
        <v>30094.806451612902</v>
      </c>
      <c r="T29">
        <v>1.92</v>
      </c>
      <c r="U29">
        <f t="shared" si="0"/>
        <v>28304.257815476216</v>
      </c>
      <c r="W29">
        <v>28383.351813931607</v>
      </c>
    </row>
    <row r="30" spans="3:23">
      <c r="D30">
        <v>1.66</v>
      </c>
      <c r="E30">
        <v>25604.048192771086</v>
      </c>
      <c r="P30">
        <v>2.52</v>
      </c>
      <c r="Q30">
        <v>23753.357142857141</v>
      </c>
      <c r="T30">
        <v>1.66</v>
      </c>
      <c r="U30">
        <f t="shared" si="0"/>
        <v>25604.048192771086</v>
      </c>
      <c r="W30">
        <v>25604.048192771086</v>
      </c>
    </row>
    <row r="31" spans="3:23">
      <c r="D31">
        <v>1.8</v>
      </c>
      <c r="E31">
        <v>25903.527777777777</v>
      </c>
      <c r="P31">
        <v>2.56</v>
      </c>
      <c r="Q31">
        <v>30013.98828125</v>
      </c>
      <c r="T31">
        <v>1.8</v>
      </c>
      <c r="U31">
        <f t="shared" si="0"/>
        <v>25903.527777777777</v>
      </c>
      <c r="W31">
        <v>25903.527777777777</v>
      </c>
    </row>
    <row r="32" spans="3:23">
      <c r="D32">
        <v>2.2400000000000002</v>
      </c>
      <c r="E32">
        <v>24288.875</v>
      </c>
      <c r="P32">
        <v>2.68</v>
      </c>
      <c r="Q32">
        <v>24270.735074626864</v>
      </c>
      <c r="T32">
        <v>2.2400000000000002</v>
      </c>
      <c r="U32">
        <f t="shared" si="0"/>
        <v>24288.875</v>
      </c>
      <c r="W32">
        <v>24288.875</v>
      </c>
    </row>
    <row r="33" spans="3:23">
      <c r="D33">
        <v>2.08</v>
      </c>
      <c r="E33">
        <v>32068.004807692305</v>
      </c>
      <c r="P33">
        <v>2.88</v>
      </c>
      <c r="Q33">
        <v>26581.187500000004</v>
      </c>
      <c r="T33">
        <v>2.08</v>
      </c>
      <c r="U33">
        <f t="shared" si="0"/>
        <v>32068.004807692305</v>
      </c>
      <c r="W33">
        <v>32068.004807692305</v>
      </c>
    </row>
    <row r="34" spans="3:23">
      <c r="D34">
        <v>2.56</v>
      </c>
      <c r="E34">
        <v>30013.98828125</v>
      </c>
      <c r="P34">
        <v>3.04</v>
      </c>
      <c r="Q34">
        <v>28397.13486842105</v>
      </c>
      <c r="T34">
        <v>2.56</v>
      </c>
      <c r="U34">
        <f t="shared" si="0"/>
        <v>30013.98828125</v>
      </c>
      <c r="W34">
        <v>30013.98828125</v>
      </c>
    </row>
    <row r="35" spans="3:23">
      <c r="C35">
        <v>1000</v>
      </c>
      <c r="D35">
        <v>2</v>
      </c>
      <c r="E35">
        <v>24307.11</v>
      </c>
      <c r="P35">
        <v>3.12</v>
      </c>
      <c r="Q35">
        <v>22641.560897435895</v>
      </c>
      <c r="T35">
        <v>2</v>
      </c>
      <c r="U35">
        <f t="shared" si="0"/>
        <v>24307.11</v>
      </c>
      <c r="W35">
        <v>24307.11</v>
      </c>
    </row>
    <row r="36" spans="3:23">
      <c r="D36">
        <v>2.16</v>
      </c>
      <c r="E36">
        <v>24503.958333333332</v>
      </c>
      <c r="P36">
        <v>3.56</v>
      </c>
      <c r="Q36">
        <v>25530.202247191013</v>
      </c>
      <c r="T36">
        <v>2.16</v>
      </c>
      <c r="U36">
        <f t="shared" si="0"/>
        <v>24503.958333333332</v>
      </c>
      <c r="W36">
        <v>24503.958333333332</v>
      </c>
    </row>
    <row r="37" spans="3:23">
      <c r="D37">
        <v>2.68</v>
      </c>
      <c r="E37">
        <v>24270.735074626864</v>
      </c>
      <c r="P37">
        <v>0.27</v>
      </c>
      <c r="Q37">
        <f>_xlfn.FORECAST.LINEAR(P37,Q4:Q36,P4:P36)</f>
        <v>35948.291611297929</v>
      </c>
      <c r="T37">
        <v>2.68</v>
      </c>
      <c r="U37">
        <f t="shared" si="0"/>
        <v>24270.735074626864</v>
      </c>
      <c r="W37">
        <v>24270.735074626864</v>
      </c>
    </row>
    <row r="38" spans="3:23">
      <c r="D38">
        <v>2.48</v>
      </c>
      <c r="E38">
        <v>30094.806451612902</v>
      </c>
      <c r="P38">
        <v>0.52</v>
      </c>
      <c r="Q38">
        <f>_xlfn.FORECAST.LINEAR(P38,Q5:Q36,P5:P36)</f>
        <v>34047.924879486702</v>
      </c>
      <c r="T38">
        <v>2.48</v>
      </c>
      <c r="U38">
        <f t="shared" si="0"/>
        <v>30094.806451612902</v>
      </c>
      <c r="W38">
        <v>30094.806451612902</v>
      </c>
    </row>
    <row r="39" spans="3:23">
      <c r="D39">
        <v>3.04</v>
      </c>
      <c r="E39">
        <v>28397.13486842105</v>
      </c>
      <c r="P39">
        <v>1.04</v>
      </c>
      <c r="Q39">
        <f t="shared" ref="Q39:Q47" si="1">_xlfn.FORECAST.LINEAR(P39,Q6:Q38,P6:P38)</f>
        <v>31707.527938718507</v>
      </c>
      <c r="T39">
        <v>3.04</v>
      </c>
      <c r="U39">
        <f t="shared" si="0"/>
        <v>28397.13486842105</v>
      </c>
      <c r="W39">
        <v>28397.13486842105</v>
      </c>
    </row>
    <row r="40" spans="3:23">
      <c r="C40">
        <v>1200</v>
      </c>
      <c r="D40">
        <v>2.16</v>
      </c>
      <c r="E40" s="211">
        <f>_xlfn.FORECAST.LINEAR(D40,E41:E42,D41:D42)</f>
        <v>24420.434890109889</v>
      </c>
      <c r="P40">
        <v>1.04</v>
      </c>
      <c r="Q40">
        <f t="shared" si="1"/>
        <v>31545.094923112694</v>
      </c>
      <c r="T40">
        <v>2.16</v>
      </c>
      <c r="U40">
        <f t="shared" si="0"/>
        <v>24503.958333333332</v>
      </c>
      <c r="W40">
        <v>24503.958333333332</v>
      </c>
    </row>
    <row r="41" spans="3:23">
      <c r="D41">
        <v>2.52</v>
      </c>
      <c r="E41">
        <v>23753.357142857141</v>
      </c>
      <c r="P41">
        <v>1.1000000000000001</v>
      </c>
      <c r="Q41">
        <f t="shared" si="1"/>
        <v>31160.417526361503</v>
      </c>
      <c r="T41">
        <v>2.52</v>
      </c>
      <c r="U41">
        <f t="shared" si="0"/>
        <v>23753.357142857141</v>
      </c>
      <c r="W41">
        <v>23753.357142857141</v>
      </c>
    </row>
    <row r="42" spans="3:23">
      <c r="D42">
        <v>3.12</v>
      </c>
      <c r="E42">
        <v>22641.560897435895</v>
      </c>
      <c r="P42">
        <v>1.26</v>
      </c>
      <c r="Q42">
        <f t="shared" si="1"/>
        <v>30430.77006292537</v>
      </c>
      <c r="T42">
        <v>3.12</v>
      </c>
      <c r="U42">
        <f t="shared" si="0"/>
        <v>22641.560897435895</v>
      </c>
      <c r="W42">
        <v>22641.560897435895</v>
      </c>
    </row>
    <row r="43" spans="3:23">
      <c r="D43">
        <v>2.88</v>
      </c>
      <c r="E43" s="211">
        <f>_xlfn.FORECAST.LINEAR(D43,E40:E42,D40:D42)</f>
        <v>23086.279395604393</v>
      </c>
      <c r="P43">
        <v>1.52</v>
      </c>
      <c r="Q43">
        <f t="shared" si="1"/>
        <v>29578.481825309755</v>
      </c>
      <c r="T43">
        <v>2.88</v>
      </c>
      <c r="U43">
        <f t="shared" si="0"/>
        <v>26581.187500000004</v>
      </c>
      <c r="W43">
        <v>26581.187500000004</v>
      </c>
    </row>
    <row r="44" spans="3:23">
      <c r="D44">
        <v>3.52</v>
      </c>
      <c r="E44" s="211">
        <f>_xlfn.FORECAST.LINEAR(D44,E40:E43,D40:D43)</f>
        <v>21900.363400488397</v>
      </c>
      <c r="P44">
        <v>1.92</v>
      </c>
      <c r="Q44">
        <f t="shared" si="1"/>
        <v>28304.257815476216</v>
      </c>
      <c r="T44">
        <v>3.52</v>
      </c>
      <c r="U44">
        <f>VLOOKUP(T44,$P$4:$Q$47,2,FALSE)</f>
        <v>23810.972276631786</v>
      </c>
      <c r="W44">
        <v>23709.19290796619</v>
      </c>
    </row>
    <row r="45" spans="3:23">
      <c r="C45">
        <v>1400</v>
      </c>
      <c r="D45">
        <v>2.88</v>
      </c>
      <c r="E45">
        <v>26581.1875</v>
      </c>
      <c r="P45">
        <v>2.16</v>
      </c>
      <c r="Q45">
        <f t="shared" si="1"/>
        <v>27583.854040105383</v>
      </c>
      <c r="T45">
        <v>2.88</v>
      </c>
      <c r="U45">
        <f t="shared" si="0"/>
        <v>26581.187500000004</v>
      </c>
      <c r="W45">
        <v>26581.187500000004</v>
      </c>
    </row>
    <row r="46" spans="3:23">
      <c r="D46">
        <v>3.56</v>
      </c>
      <c r="E46">
        <v>25530.202247191013</v>
      </c>
      <c r="P46">
        <v>2.88</v>
      </c>
      <c r="Q46">
        <f t="shared" si="1"/>
        <v>25564.753991216254</v>
      </c>
      <c r="T46">
        <v>3.56</v>
      </c>
      <c r="U46">
        <f t="shared" si="0"/>
        <v>25530.202247191013</v>
      </c>
      <c r="W46">
        <v>25530.202247191013</v>
      </c>
    </row>
    <row r="47" spans="3:23">
      <c r="P47">
        <v>3.52</v>
      </c>
      <c r="Q47">
        <f t="shared" si="1"/>
        <v>23810.972276631786</v>
      </c>
    </row>
  </sheetData>
  <sortState ref="P37:P47">
    <sortCondition ref="P3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SE1000 (черный лист)</vt:lpstr>
      <vt:lpstr>SE1100(черный лист)</vt:lpstr>
      <vt:lpstr>SF1000 и SF1100</vt:lpstr>
      <vt:lpstr>SE2000 (нерж304)</vt:lpstr>
      <vt:lpstr>SE2100(нерж304)</vt:lpstr>
      <vt:lpstr>Напольные корпуса линейных шкаф</vt:lpstr>
      <vt:lpstr>коробки соеденительные CS</vt:lpstr>
      <vt:lpstr>Лист2</vt:lpstr>
      <vt:lpstr>SE3000(нерж316)</vt:lpstr>
      <vt:lpstr>Лист1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2018-07-23T11:55:31Z</dcterms:modified>
</cp:coreProperties>
</file>